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65f6f29ea7c430c/Documents/"/>
    </mc:Choice>
  </mc:AlternateContent>
  <xr:revisionPtr revIDLastSave="0" documentId="8_{F643EFFE-6AB5-4298-BB7A-307BD549C3BC}" xr6:coauthVersionLast="47" xr6:coauthVersionMax="47" xr10:uidLastSave="{00000000-0000-0000-0000-000000000000}"/>
  <bookViews>
    <workbookView xWindow="-108" yWindow="-108" windowWidth="23256" windowHeight="12456" xr2:uid="{8E6FEE5C-3363-4DFF-B48B-E78D285EE8BC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613" i="1" l="1"/>
  <c r="I613" i="1"/>
  <c r="H613" i="1"/>
  <c r="E613" i="1"/>
  <c r="J612" i="1"/>
  <c r="I612" i="1"/>
  <c r="H612" i="1"/>
  <c r="E612" i="1"/>
  <c r="J611" i="1"/>
  <c r="I611" i="1"/>
  <c r="H611" i="1"/>
  <c r="E611" i="1"/>
  <c r="J610" i="1"/>
  <c r="H610" i="1"/>
  <c r="E610" i="1"/>
  <c r="J609" i="1"/>
  <c r="I609" i="1"/>
  <c r="H609" i="1"/>
  <c r="E609" i="1"/>
  <c r="J608" i="1"/>
  <c r="I608" i="1"/>
  <c r="H608" i="1"/>
  <c r="E608" i="1"/>
  <c r="J607" i="1"/>
  <c r="I607" i="1"/>
  <c r="H607" i="1"/>
  <c r="E607" i="1"/>
  <c r="J606" i="1"/>
  <c r="I606" i="1"/>
  <c r="H606" i="1"/>
  <c r="E606" i="1"/>
  <c r="J605" i="1"/>
  <c r="I605" i="1"/>
  <c r="H605" i="1"/>
  <c r="E605" i="1"/>
  <c r="J604" i="1"/>
  <c r="I604" i="1"/>
  <c r="H604" i="1"/>
  <c r="E604" i="1"/>
  <c r="J603" i="1"/>
  <c r="I603" i="1"/>
  <c r="H603" i="1"/>
  <c r="E603" i="1"/>
  <c r="J602" i="1"/>
  <c r="I602" i="1"/>
  <c r="H602" i="1"/>
  <c r="E602" i="1"/>
  <c r="J601" i="1"/>
  <c r="I601" i="1"/>
  <c r="H601" i="1"/>
  <c r="E601" i="1"/>
  <c r="J600" i="1"/>
  <c r="I600" i="1"/>
  <c r="H600" i="1"/>
  <c r="E600" i="1"/>
  <c r="J599" i="1"/>
  <c r="I599" i="1"/>
  <c r="H599" i="1"/>
  <c r="E599" i="1"/>
  <c r="J598" i="1"/>
  <c r="I598" i="1"/>
  <c r="H598" i="1"/>
  <c r="E598" i="1"/>
  <c r="J597" i="1"/>
  <c r="H597" i="1"/>
  <c r="E597" i="1"/>
  <c r="J596" i="1"/>
  <c r="I596" i="1"/>
  <c r="H596" i="1"/>
  <c r="E596" i="1"/>
  <c r="J595" i="1"/>
  <c r="I595" i="1"/>
  <c r="H595" i="1"/>
  <c r="E595" i="1"/>
  <c r="J594" i="1"/>
  <c r="I594" i="1"/>
  <c r="H594" i="1"/>
  <c r="E594" i="1"/>
  <c r="J593" i="1"/>
  <c r="I593" i="1"/>
  <c r="H593" i="1"/>
  <c r="E593" i="1"/>
  <c r="J592" i="1"/>
  <c r="I592" i="1"/>
  <c r="H592" i="1"/>
  <c r="E592" i="1"/>
  <c r="J591" i="1"/>
  <c r="I591" i="1"/>
  <c r="H591" i="1"/>
  <c r="E591" i="1"/>
  <c r="J590" i="1"/>
  <c r="I590" i="1"/>
  <c r="H590" i="1"/>
  <c r="E590" i="1"/>
  <c r="J589" i="1"/>
  <c r="I589" i="1"/>
  <c r="H589" i="1"/>
  <c r="E589" i="1"/>
  <c r="J588" i="1"/>
  <c r="I588" i="1"/>
  <c r="H588" i="1"/>
  <c r="E588" i="1"/>
  <c r="J587" i="1"/>
  <c r="I587" i="1"/>
  <c r="H587" i="1"/>
  <c r="E587" i="1"/>
  <c r="J586" i="1"/>
  <c r="I586" i="1"/>
  <c r="H586" i="1"/>
  <c r="E586" i="1"/>
  <c r="J585" i="1"/>
  <c r="I585" i="1"/>
  <c r="H585" i="1"/>
  <c r="E585" i="1"/>
  <c r="J584" i="1"/>
  <c r="H584" i="1"/>
  <c r="E584" i="1"/>
  <c r="J583" i="1"/>
  <c r="I583" i="1"/>
  <c r="H583" i="1"/>
  <c r="E583" i="1"/>
  <c r="J582" i="1"/>
  <c r="H582" i="1"/>
  <c r="E582" i="1"/>
  <c r="J581" i="1"/>
  <c r="I581" i="1"/>
  <c r="H581" i="1"/>
  <c r="E581" i="1"/>
  <c r="J580" i="1"/>
  <c r="I580" i="1"/>
  <c r="H580" i="1"/>
  <c r="E580" i="1"/>
  <c r="J579" i="1"/>
  <c r="I579" i="1"/>
  <c r="H579" i="1"/>
  <c r="E579" i="1"/>
  <c r="J578" i="1"/>
  <c r="I578" i="1"/>
  <c r="H578" i="1"/>
  <c r="E578" i="1"/>
  <c r="J577" i="1"/>
  <c r="I577" i="1"/>
  <c r="H577" i="1"/>
  <c r="E577" i="1"/>
  <c r="J576" i="1"/>
  <c r="I576" i="1"/>
  <c r="H576" i="1"/>
  <c r="E576" i="1"/>
  <c r="J575" i="1"/>
  <c r="I575" i="1"/>
  <c r="H575" i="1"/>
  <c r="E575" i="1"/>
  <c r="J574" i="1"/>
  <c r="I574" i="1"/>
  <c r="H574" i="1"/>
  <c r="E574" i="1"/>
  <c r="J573" i="1"/>
  <c r="I573" i="1"/>
  <c r="H573" i="1"/>
  <c r="E573" i="1"/>
  <c r="J572" i="1"/>
  <c r="I572" i="1"/>
  <c r="H572" i="1"/>
  <c r="E572" i="1"/>
  <c r="J571" i="1"/>
  <c r="I571" i="1"/>
  <c r="H571" i="1"/>
  <c r="E571" i="1"/>
  <c r="J570" i="1"/>
  <c r="I570" i="1"/>
  <c r="H570" i="1"/>
  <c r="E570" i="1"/>
  <c r="J569" i="1"/>
  <c r="I569" i="1"/>
  <c r="H569" i="1"/>
  <c r="E569" i="1"/>
  <c r="J568" i="1"/>
  <c r="I568" i="1"/>
  <c r="H568" i="1"/>
  <c r="E568" i="1"/>
  <c r="J567" i="1"/>
  <c r="I567" i="1"/>
  <c r="H567" i="1"/>
  <c r="E567" i="1"/>
  <c r="J566" i="1"/>
  <c r="I566" i="1"/>
  <c r="H566" i="1"/>
  <c r="E566" i="1"/>
  <c r="J565" i="1"/>
  <c r="H565" i="1"/>
  <c r="E565" i="1"/>
  <c r="J564" i="1"/>
  <c r="I564" i="1"/>
  <c r="H564" i="1"/>
  <c r="E564" i="1"/>
  <c r="J563" i="1"/>
  <c r="I563" i="1"/>
  <c r="H563" i="1"/>
  <c r="E563" i="1"/>
  <c r="J562" i="1"/>
  <c r="I562" i="1"/>
  <c r="H562" i="1"/>
  <c r="E562" i="1"/>
  <c r="J561" i="1"/>
  <c r="I561" i="1"/>
  <c r="H561" i="1"/>
  <c r="E561" i="1"/>
  <c r="J560" i="1"/>
  <c r="I560" i="1"/>
  <c r="H560" i="1"/>
  <c r="E560" i="1"/>
  <c r="J559" i="1"/>
  <c r="I559" i="1"/>
  <c r="H559" i="1"/>
  <c r="E559" i="1"/>
  <c r="J558" i="1"/>
  <c r="I558" i="1"/>
  <c r="H558" i="1"/>
  <c r="E558" i="1"/>
  <c r="J557" i="1"/>
  <c r="I557" i="1"/>
  <c r="H557" i="1"/>
  <c r="E557" i="1"/>
  <c r="J556" i="1"/>
  <c r="I556" i="1"/>
  <c r="H556" i="1"/>
  <c r="E556" i="1"/>
  <c r="J555" i="1"/>
  <c r="I555" i="1"/>
  <c r="H555" i="1"/>
  <c r="E555" i="1"/>
  <c r="J554" i="1"/>
  <c r="I554" i="1"/>
  <c r="H554" i="1"/>
  <c r="E554" i="1"/>
  <c r="J553" i="1"/>
  <c r="I553" i="1"/>
  <c r="H553" i="1"/>
  <c r="E553" i="1"/>
  <c r="J552" i="1"/>
  <c r="I552" i="1"/>
  <c r="H552" i="1"/>
  <c r="E552" i="1"/>
  <c r="J551" i="1"/>
  <c r="H551" i="1"/>
  <c r="E551" i="1"/>
  <c r="J550" i="1"/>
  <c r="I550" i="1"/>
  <c r="H550" i="1"/>
  <c r="E550" i="1"/>
  <c r="J549" i="1"/>
  <c r="I549" i="1"/>
  <c r="H549" i="1"/>
  <c r="E549" i="1"/>
  <c r="J548" i="1"/>
  <c r="I548" i="1"/>
  <c r="H548" i="1"/>
  <c r="E548" i="1"/>
  <c r="J547" i="1"/>
  <c r="I547" i="1"/>
  <c r="H547" i="1"/>
  <c r="E547" i="1"/>
  <c r="J546" i="1"/>
  <c r="I546" i="1"/>
  <c r="H546" i="1"/>
  <c r="E546" i="1"/>
  <c r="J545" i="1"/>
  <c r="I545" i="1"/>
  <c r="H545" i="1"/>
  <c r="E545" i="1"/>
  <c r="J544" i="1"/>
  <c r="I544" i="1"/>
  <c r="H544" i="1"/>
  <c r="E544" i="1"/>
  <c r="J543" i="1"/>
  <c r="I543" i="1"/>
  <c r="H543" i="1"/>
  <c r="E543" i="1"/>
  <c r="J542" i="1"/>
  <c r="I542" i="1"/>
  <c r="H542" i="1"/>
  <c r="E542" i="1"/>
  <c r="J541" i="1"/>
  <c r="I541" i="1"/>
  <c r="H541" i="1"/>
  <c r="E541" i="1"/>
  <c r="J540" i="1"/>
  <c r="H540" i="1"/>
  <c r="E540" i="1"/>
  <c r="J539" i="1"/>
  <c r="I539" i="1"/>
  <c r="H539" i="1"/>
  <c r="E539" i="1"/>
  <c r="J538" i="1"/>
  <c r="I538" i="1"/>
  <c r="H538" i="1"/>
  <c r="E538" i="1"/>
  <c r="J537" i="1"/>
  <c r="I537" i="1"/>
  <c r="H537" i="1"/>
  <c r="E537" i="1"/>
  <c r="J536" i="1"/>
  <c r="I536" i="1"/>
  <c r="H536" i="1"/>
  <c r="E536" i="1"/>
  <c r="J535" i="1"/>
  <c r="I535" i="1"/>
  <c r="H535" i="1"/>
  <c r="E535" i="1"/>
  <c r="J534" i="1"/>
  <c r="I534" i="1"/>
  <c r="H534" i="1"/>
  <c r="E534" i="1"/>
  <c r="J533" i="1"/>
  <c r="I533" i="1"/>
  <c r="H533" i="1"/>
  <c r="E533" i="1"/>
  <c r="J532" i="1"/>
  <c r="I532" i="1"/>
  <c r="H532" i="1"/>
  <c r="E532" i="1"/>
  <c r="J531" i="1"/>
  <c r="I531" i="1"/>
  <c r="H531" i="1"/>
  <c r="E531" i="1"/>
  <c r="J530" i="1"/>
  <c r="I530" i="1"/>
  <c r="H530" i="1"/>
  <c r="E530" i="1"/>
  <c r="J529" i="1"/>
  <c r="H529" i="1"/>
  <c r="E529" i="1"/>
  <c r="J528" i="1"/>
  <c r="I528" i="1"/>
  <c r="H528" i="1"/>
  <c r="E528" i="1"/>
  <c r="J527" i="1"/>
  <c r="I527" i="1"/>
  <c r="H527" i="1"/>
  <c r="E527" i="1"/>
  <c r="J526" i="1"/>
  <c r="I526" i="1"/>
  <c r="H526" i="1"/>
  <c r="E526" i="1"/>
  <c r="J525" i="1"/>
  <c r="I525" i="1"/>
  <c r="H525" i="1"/>
  <c r="E525" i="1"/>
  <c r="J524" i="1"/>
  <c r="I524" i="1"/>
  <c r="H524" i="1"/>
  <c r="E524" i="1"/>
  <c r="J523" i="1"/>
  <c r="I523" i="1"/>
  <c r="H523" i="1"/>
  <c r="E523" i="1"/>
  <c r="J522" i="1"/>
  <c r="I522" i="1"/>
  <c r="H522" i="1"/>
  <c r="E522" i="1"/>
  <c r="J521" i="1"/>
  <c r="I521" i="1"/>
  <c r="H521" i="1"/>
  <c r="E521" i="1"/>
  <c r="J520" i="1"/>
  <c r="I520" i="1"/>
  <c r="H520" i="1"/>
  <c r="E520" i="1"/>
  <c r="J519" i="1"/>
  <c r="I519" i="1"/>
  <c r="H519" i="1"/>
  <c r="E519" i="1"/>
  <c r="J518" i="1"/>
  <c r="I518" i="1"/>
  <c r="H518" i="1"/>
  <c r="E518" i="1"/>
  <c r="J517" i="1"/>
  <c r="I517" i="1"/>
  <c r="H517" i="1"/>
  <c r="E517" i="1"/>
  <c r="J516" i="1"/>
  <c r="I516" i="1"/>
  <c r="H516" i="1"/>
  <c r="E516" i="1"/>
  <c r="J515" i="1"/>
  <c r="I515" i="1"/>
  <c r="H515" i="1"/>
  <c r="E515" i="1"/>
  <c r="J514" i="1"/>
  <c r="I514" i="1"/>
  <c r="H514" i="1"/>
  <c r="E514" i="1"/>
  <c r="J513" i="1"/>
  <c r="I513" i="1"/>
  <c r="H513" i="1"/>
  <c r="E513" i="1"/>
  <c r="J512" i="1"/>
  <c r="I512" i="1"/>
  <c r="H512" i="1"/>
  <c r="E512" i="1"/>
  <c r="J511" i="1"/>
  <c r="I511" i="1"/>
  <c r="H511" i="1"/>
  <c r="E511" i="1"/>
  <c r="J510" i="1"/>
  <c r="I510" i="1"/>
  <c r="H510" i="1"/>
  <c r="E510" i="1"/>
  <c r="J509" i="1"/>
  <c r="I509" i="1"/>
  <c r="H509" i="1"/>
  <c r="E509" i="1"/>
  <c r="J508" i="1"/>
  <c r="I508" i="1"/>
  <c r="H508" i="1"/>
  <c r="E508" i="1"/>
  <c r="J507" i="1"/>
  <c r="I507" i="1"/>
  <c r="H507" i="1"/>
  <c r="E507" i="1"/>
  <c r="J506" i="1"/>
  <c r="H506" i="1"/>
  <c r="E506" i="1"/>
  <c r="J505" i="1"/>
  <c r="I505" i="1"/>
  <c r="H505" i="1"/>
  <c r="E505" i="1"/>
  <c r="J504" i="1"/>
  <c r="I504" i="1"/>
  <c r="H504" i="1"/>
  <c r="E504" i="1"/>
  <c r="J503" i="1"/>
  <c r="I503" i="1"/>
  <c r="H503" i="1"/>
  <c r="E503" i="1"/>
  <c r="J502" i="1"/>
  <c r="I502" i="1"/>
  <c r="H502" i="1"/>
  <c r="E502" i="1"/>
  <c r="J501" i="1"/>
  <c r="I501" i="1"/>
  <c r="H501" i="1"/>
  <c r="E501" i="1"/>
  <c r="J500" i="1"/>
  <c r="I500" i="1"/>
  <c r="H500" i="1"/>
  <c r="E500" i="1"/>
  <c r="J499" i="1"/>
  <c r="I499" i="1"/>
  <c r="H499" i="1"/>
  <c r="E499" i="1"/>
  <c r="J498" i="1"/>
  <c r="I498" i="1"/>
  <c r="H498" i="1"/>
  <c r="E498" i="1"/>
  <c r="J497" i="1"/>
  <c r="I497" i="1"/>
  <c r="H497" i="1"/>
  <c r="E497" i="1"/>
  <c r="J496" i="1"/>
  <c r="I496" i="1"/>
  <c r="H496" i="1"/>
  <c r="E496" i="1"/>
  <c r="J495" i="1"/>
  <c r="I495" i="1"/>
  <c r="H495" i="1"/>
  <c r="E495" i="1"/>
  <c r="J494" i="1"/>
  <c r="I494" i="1"/>
  <c r="H494" i="1"/>
  <c r="E494" i="1"/>
  <c r="J493" i="1"/>
  <c r="I493" i="1"/>
  <c r="H493" i="1"/>
  <c r="E493" i="1"/>
  <c r="J492" i="1"/>
  <c r="I492" i="1"/>
  <c r="H492" i="1"/>
  <c r="E492" i="1"/>
  <c r="J491" i="1"/>
  <c r="I491" i="1"/>
  <c r="H491" i="1"/>
  <c r="E491" i="1"/>
  <c r="J490" i="1"/>
  <c r="I490" i="1"/>
  <c r="H490" i="1"/>
  <c r="E490" i="1"/>
  <c r="J489" i="1"/>
  <c r="I489" i="1"/>
  <c r="H489" i="1"/>
  <c r="E489" i="1"/>
  <c r="J488" i="1"/>
  <c r="I488" i="1"/>
  <c r="H488" i="1"/>
  <c r="E488" i="1"/>
  <c r="J487" i="1"/>
  <c r="I487" i="1"/>
  <c r="H487" i="1"/>
  <c r="E487" i="1"/>
  <c r="J486" i="1"/>
  <c r="I486" i="1"/>
  <c r="H486" i="1"/>
  <c r="E486" i="1"/>
  <c r="J485" i="1"/>
  <c r="I485" i="1"/>
  <c r="H485" i="1"/>
  <c r="E485" i="1"/>
  <c r="J484" i="1"/>
  <c r="I484" i="1"/>
  <c r="H484" i="1"/>
  <c r="E484" i="1"/>
  <c r="J483" i="1"/>
  <c r="I483" i="1"/>
  <c r="H483" i="1"/>
  <c r="E483" i="1"/>
  <c r="J482" i="1"/>
  <c r="I482" i="1"/>
  <c r="H482" i="1"/>
  <c r="E482" i="1"/>
  <c r="J481" i="1"/>
  <c r="I481" i="1"/>
  <c r="H481" i="1"/>
  <c r="E481" i="1"/>
  <c r="J480" i="1"/>
  <c r="I480" i="1"/>
  <c r="H480" i="1"/>
  <c r="E480" i="1"/>
  <c r="J479" i="1"/>
  <c r="I479" i="1"/>
  <c r="H479" i="1"/>
  <c r="E479" i="1"/>
  <c r="J478" i="1"/>
  <c r="I478" i="1"/>
  <c r="H478" i="1"/>
  <c r="E478" i="1"/>
  <c r="J477" i="1"/>
  <c r="I477" i="1"/>
  <c r="H477" i="1"/>
  <c r="E477" i="1"/>
  <c r="J476" i="1"/>
  <c r="I476" i="1"/>
  <c r="H476" i="1"/>
  <c r="E476" i="1"/>
  <c r="J475" i="1"/>
  <c r="I475" i="1"/>
  <c r="H475" i="1"/>
  <c r="E475" i="1"/>
  <c r="J474" i="1"/>
  <c r="I474" i="1"/>
  <c r="H474" i="1"/>
  <c r="E474" i="1"/>
  <c r="J473" i="1"/>
  <c r="I473" i="1"/>
  <c r="H473" i="1"/>
  <c r="E473" i="1"/>
  <c r="J472" i="1"/>
  <c r="I472" i="1"/>
  <c r="H472" i="1"/>
  <c r="E472" i="1"/>
  <c r="J471" i="1"/>
  <c r="I471" i="1"/>
  <c r="H471" i="1"/>
  <c r="E471" i="1"/>
  <c r="J470" i="1"/>
  <c r="I470" i="1"/>
  <c r="H470" i="1"/>
  <c r="E470" i="1"/>
  <c r="J469" i="1"/>
  <c r="I469" i="1"/>
  <c r="H469" i="1"/>
  <c r="E469" i="1"/>
  <c r="J468" i="1"/>
  <c r="I468" i="1"/>
  <c r="H468" i="1"/>
  <c r="E468" i="1"/>
  <c r="J467" i="1"/>
  <c r="I467" i="1"/>
  <c r="H467" i="1"/>
  <c r="E467" i="1"/>
  <c r="J466" i="1"/>
  <c r="I466" i="1"/>
  <c r="H466" i="1"/>
  <c r="E466" i="1"/>
  <c r="J465" i="1"/>
  <c r="I465" i="1"/>
  <c r="H465" i="1"/>
  <c r="E465" i="1"/>
  <c r="J464" i="1"/>
  <c r="I464" i="1"/>
  <c r="H464" i="1"/>
  <c r="E464" i="1"/>
  <c r="J463" i="1"/>
  <c r="I463" i="1"/>
  <c r="H463" i="1"/>
  <c r="E463" i="1"/>
  <c r="J462" i="1"/>
  <c r="I462" i="1"/>
  <c r="H462" i="1"/>
  <c r="E462" i="1"/>
  <c r="J461" i="1"/>
  <c r="I461" i="1"/>
  <c r="H461" i="1"/>
  <c r="E461" i="1"/>
  <c r="J460" i="1"/>
  <c r="I460" i="1"/>
  <c r="H460" i="1"/>
  <c r="E460" i="1"/>
  <c r="J459" i="1"/>
  <c r="I459" i="1"/>
  <c r="H459" i="1"/>
  <c r="E459" i="1"/>
  <c r="J458" i="1"/>
  <c r="I458" i="1"/>
  <c r="H458" i="1"/>
  <c r="E458" i="1"/>
  <c r="J457" i="1"/>
  <c r="I457" i="1"/>
  <c r="H457" i="1"/>
  <c r="E457" i="1"/>
  <c r="J456" i="1"/>
  <c r="I456" i="1"/>
  <c r="H456" i="1"/>
  <c r="E456" i="1"/>
  <c r="J455" i="1"/>
  <c r="I455" i="1"/>
  <c r="H455" i="1"/>
  <c r="E455" i="1"/>
  <c r="J454" i="1"/>
  <c r="I454" i="1"/>
  <c r="H454" i="1"/>
  <c r="E454" i="1"/>
  <c r="J453" i="1"/>
  <c r="I453" i="1"/>
  <c r="H453" i="1"/>
  <c r="E453" i="1"/>
  <c r="J452" i="1"/>
  <c r="I452" i="1"/>
  <c r="H452" i="1"/>
  <c r="E452" i="1"/>
  <c r="J451" i="1"/>
  <c r="I451" i="1"/>
  <c r="H451" i="1"/>
  <c r="E451" i="1"/>
  <c r="J450" i="1"/>
  <c r="I450" i="1"/>
  <c r="H450" i="1"/>
  <c r="E450" i="1"/>
  <c r="J449" i="1"/>
  <c r="I449" i="1"/>
  <c r="H449" i="1"/>
  <c r="E449" i="1"/>
  <c r="J448" i="1"/>
  <c r="I448" i="1"/>
  <c r="H448" i="1"/>
  <c r="E448" i="1"/>
  <c r="J447" i="1"/>
  <c r="I447" i="1"/>
  <c r="H447" i="1"/>
  <c r="E447" i="1"/>
  <c r="J446" i="1"/>
  <c r="I446" i="1"/>
  <c r="H446" i="1"/>
  <c r="E446" i="1"/>
  <c r="J445" i="1"/>
  <c r="I445" i="1"/>
  <c r="H445" i="1"/>
  <c r="E445" i="1"/>
  <c r="J444" i="1"/>
  <c r="I444" i="1"/>
  <c r="H444" i="1"/>
  <c r="E444" i="1"/>
  <c r="J443" i="1"/>
  <c r="I443" i="1"/>
  <c r="H443" i="1"/>
  <c r="E443" i="1"/>
  <c r="J442" i="1"/>
  <c r="I442" i="1"/>
  <c r="H442" i="1"/>
  <c r="E442" i="1"/>
  <c r="J441" i="1"/>
  <c r="I441" i="1"/>
  <c r="H441" i="1"/>
  <c r="E441" i="1"/>
  <c r="J440" i="1"/>
  <c r="I440" i="1"/>
  <c r="H440" i="1"/>
  <c r="E440" i="1"/>
  <c r="J439" i="1"/>
  <c r="I439" i="1"/>
  <c r="H439" i="1"/>
  <c r="E439" i="1"/>
  <c r="J438" i="1"/>
  <c r="I438" i="1"/>
  <c r="H438" i="1"/>
  <c r="E438" i="1"/>
  <c r="J437" i="1"/>
  <c r="I437" i="1"/>
  <c r="H437" i="1"/>
  <c r="E437" i="1"/>
  <c r="J436" i="1"/>
  <c r="I436" i="1"/>
  <c r="H436" i="1"/>
  <c r="E436" i="1"/>
  <c r="J435" i="1"/>
  <c r="I435" i="1"/>
  <c r="H435" i="1"/>
  <c r="E435" i="1"/>
  <c r="J434" i="1"/>
  <c r="I434" i="1"/>
  <c r="H434" i="1"/>
  <c r="E434" i="1"/>
  <c r="J433" i="1"/>
  <c r="I433" i="1"/>
  <c r="H433" i="1"/>
  <c r="E433" i="1"/>
  <c r="J432" i="1"/>
  <c r="I432" i="1"/>
  <c r="H432" i="1"/>
  <c r="E432" i="1"/>
  <c r="J431" i="1"/>
  <c r="I431" i="1"/>
  <c r="H431" i="1"/>
  <c r="E431" i="1"/>
  <c r="J430" i="1"/>
  <c r="I430" i="1"/>
  <c r="H430" i="1"/>
  <c r="E430" i="1"/>
  <c r="J429" i="1"/>
  <c r="I429" i="1"/>
  <c r="H429" i="1"/>
  <c r="E429" i="1"/>
  <c r="J428" i="1"/>
  <c r="I428" i="1"/>
  <c r="H428" i="1"/>
  <c r="E428" i="1"/>
  <c r="J427" i="1"/>
  <c r="I427" i="1"/>
  <c r="H427" i="1"/>
  <c r="E427" i="1"/>
  <c r="J426" i="1"/>
  <c r="I426" i="1"/>
  <c r="H426" i="1"/>
  <c r="E426" i="1"/>
  <c r="J425" i="1"/>
  <c r="I425" i="1"/>
  <c r="H425" i="1"/>
  <c r="E425" i="1"/>
  <c r="J424" i="1"/>
  <c r="I424" i="1"/>
  <c r="H424" i="1"/>
  <c r="E424" i="1"/>
  <c r="J423" i="1"/>
  <c r="I423" i="1"/>
  <c r="H423" i="1"/>
  <c r="E423" i="1"/>
  <c r="J422" i="1"/>
  <c r="I422" i="1"/>
  <c r="H422" i="1"/>
  <c r="E422" i="1"/>
  <c r="J421" i="1"/>
  <c r="I421" i="1"/>
  <c r="H421" i="1"/>
  <c r="E421" i="1"/>
  <c r="J420" i="1"/>
  <c r="I420" i="1"/>
  <c r="H420" i="1"/>
  <c r="E420" i="1"/>
  <c r="J419" i="1"/>
  <c r="I419" i="1"/>
  <c r="H419" i="1"/>
  <c r="E419" i="1"/>
  <c r="J418" i="1"/>
  <c r="I418" i="1"/>
  <c r="H418" i="1"/>
  <c r="E418" i="1"/>
  <c r="J417" i="1"/>
  <c r="I417" i="1"/>
  <c r="H417" i="1"/>
  <c r="E417" i="1"/>
  <c r="J416" i="1"/>
  <c r="I416" i="1"/>
  <c r="H416" i="1"/>
  <c r="E416" i="1"/>
  <c r="J415" i="1"/>
  <c r="I415" i="1"/>
  <c r="H415" i="1"/>
  <c r="E415" i="1"/>
  <c r="J414" i="1"/>
  <c r="I414" i="1"/>
  <c r="H414" i="1"/>
  <c r="E414" i="1"/>
  <c r="J413" i="1"/>
  <c r="I413" i="1"/>
  <c r="H413" i="1"/>
  <c r="E413" i="1"/>
  <c r="J412" i="1"/>
  <c r="I412" i="1"/>
  <c r="H412" i="1"/>
  <c r="E412" i="1"/>
  <c r="J411" i="1"/>
  <c r="I411" i="1"/>
  <c r="H411" i="1"/>
  <c r="E411" i="1"/>
  <c r="J410" i="1"/>
  <c r="I410" i="1"/>
  <c r="H410" i="1"/>
  <c r="E410" i="1"/>
  <c r="J409" i="1"/>
  <c r="I409" i="1"/>
  <c r="H409" i="1"/>
  <c r="E409" i="1"/>
  <c r="J408" i="1"/>
  <c r="I408" i="1"/>
  <c r="H408" i="1"/>
  <c r="E408" i="1"/>
  <c r="J407" i="1"/>
  <c r="I407" i="1"/>
  <c r="H407" i="1"/>
  <c r="E407" i="1"/>
  <c r="J406" i="1"/>
  <c r="I406" i="1"/>
  <c r="H406" i="1"/>
  <c r="E406" i="1"/>
  <c r="J405" i="1"/>
  <c r="I405" i="1"/>
  <c r="H405" i="1"/>
  <c r="E405" i="1"/>
  <c r="J404" i="1"/>
  <c r="I404" i="1"/>
  <c r="H404" i="1"/>
  <c r="E404" i="1"/>
  <c r="J403" i="1"/>
  <c r="I403" i="1"/>
  <c r="H403" i="1"/>
  <c r="E403" i="1"/>
  <c r="J402" i="1"/>
  <c r="I402" i="1"/>
  <c r="H402" i="1"/>
  <c r="E402" i="1"/>
  <c r="J401" i="1"/>
  <c r="I401" i="1"/>
  <c r="H401" i="1"/>
  <c r="E401" i="1"/>
  <c r="J400" i="1"/>
  <c r="I400" i="1"/>
  <c r="H400" i="1"/>
  <c r="E400" i="1"/>
  <c r="J399" i="1"/>
  <c r="I399" i="1"/>
  <c r="H399" i="1"/>
  <c r="E399" i="1"/>
  <c r="J398" i="1"/>
  <c r="I398" i="1"/>
  <c r="H398" i="1"/>
  <c r="E398" i="1"/>
  <c r="J397" i="1"/>
  <c r="I397" i="1"/>
  <c r="H397" i="1"/>
  <c r="E397" i="1"/>
  <c r="J396" i="1"/>
  <c r="I396" i="1"/>
  <c r="H396" i="1"/>
  <c r="E396" i="1"/>
  <c r="J395" i="1"/>
  <c r="I395" i="1"/>
  <c r="H395" i="1"/>
  <c r="E395" i="1"/>
  <c r="J394" i="1"/>
  <c r="I394" i="1"/>
  <c r="H394" i="1"/>
  <c r="E394" i="1"/>
  <c r="J393" i="1"/>
  <c r="I393" i="1"/>
  <c r="H393" i="1"/>
  <c r="E393" i="1"/>
  <c r="J392" i="1"/>
  <c r="I392" i="1"/>
  <c r="H392" i="1"/>
  <c r="E392" i="1"/>
  <c r="J391" i="1"/>
  <c r="I391" i="1"/>
  <c r="H391" i="1"/>
  <c r="E391" i="1"/>
  <c r="J390" i="1"/>
  <c r="I390" i="1"/>
  <c r="H390" i="1"/>
  <c r="E390" i="1"/>
  <c r="J389" i="1"/>
  <c r="I389" i="1"/>
  <c r="H389" i="1"/>
  <c r="E389" i="1"/>
  <c r="J388" i="1"/>
  <c r="I388" i="1"/>
  <c r="H388" i="1"/>
  <c r="E388" i="1"/>
  <c r="J387" i="1"/>
  <c r="I387" i="1"/>
  <c r="H387" i="1"/>
  <c r="E387" i="1"/>
  <c r="J386" i="1"/>
  <c r="I386" i="1"/>
  <c r="H386" i="1"/>
  <c r="E386" i="1"/>
  <c r="J385" i="1"/>
  <c r="I385" i="1"/>
  <c r="H385" i="1"/>
  <c r="E385" i="1"/>
  <c r="J384" i="1"/>
  <c r="I384" i="1"/>
  <c r="H384" i="1"/>
  <c r="E384" i="1"/>
  <c r="J383" i="1"/>
  <c r="I383" i="1"/>
  <c r="H383" i="1"/>
  <c r="E383" i="1"/>
  <c r="J382" i="1"/>
  <c r="I382" i="1"/>
  <c r="H382" i="1"/>
  <c r="E382" i="1"/>
  <c r="J381" i="1"/>
  <c r="I381" i="1"/>
  <c r="H381" i="1"/>
  <c r="E381" i="1"/>
  <c r="J380" i="1"/>
  <c r="I380" i="1"/>
  <c r="H380" i="1"/>
  <c r="E380" i="1"/>
  <c r="J379" i="1"/>
  <c r="I379" i="1"/>
  <c r="H379" i="1"/>
  <c r="E379" i="1"/>
  <c r="J378" i="1"/>
  <c r="I378" i="1"/>
  <c r="H378" i="1"/>
  <c r="E378" i="1"/>
  <c r="J377" i="1"/>
  <c r="I377" i="1"/>
  <c r="H377" i="1"/>
  <c r="E377" i="1"/>
  <c r="J376" i="1"/>
  <c r="I376" i="1"/>
  <c r="H376" i="1"/>
  <c r="E376" i="1"/>
  <c r="J375" i="1"/>
  <c r="I375" i="1"/>
  <c r="H375" i="1"/>
  <c r="E375" i="1"/>
  <c r="J374" i="1"/>
  <c r="I374" i="1"/>
  <c r="H374" i="1"/>
  <c r="E374" i="1"/>
  <c r="J373" i="1"/>
  <c r="I373" i="1"/>
  <c r="H373" i="1"/>
  <c r="E373" i="1"/>
  <c r="J372" i="1"/>
  <c r="I372" i="1"/>
  <c r="H372" i="1"/>
  <c r="E372" i="1"/>
  <c r="J371" i="1"/>
  <c r="I371" i="1"/>
  <c r="H371" i="1"/>
  <c r="E371" i="1"/>
  <c r="J370" i="1"/>
  <c r="I370" i="1"/>
  <c r="H370" i="1"/>
  <c r="E370" i="1"/>
  <c r="J369" i="1"/>
  <c r="I369" i="1"/>
  <c r="H369" i="1"/>
  <c r="E369" i="1"/>
  <c r="J368" i="1"/>
  <c r="I368" i="1"/>
  <c r="H368" i="1"/>
  <c r="E368" i="1"/>
  <c r="J367" i="1"/>
  <c r="I367" i="1"/>
  <c r="H367" i="1"/>
  <c r="E367" i="1"/>
  <c r="J366" i="1"/>
  <c r="I366" i="1"/>
  <c r="H366" i="1"/>
  <c r="E366" i="1"/>
  <c r="J365" i="1"/>
  <c r="I365" i="1"/>
  <c r="H365" i="1"/>
  <c r="E365" i="1"/>
  <c r="J364" i="1"/>
  <c r="I364" i="1"/>
  <c r="H364" i="1"/>
  <c r="E364" i="1"/>
  <c r="J363" i="1"/>
  <c r="I363" i="1"/>
  <c r="H363" i="1"/>
  <c r="E363" i="1"/>
  <c r="J362" i="1"/>
  <c r="I362" i="1"/>
  <c r="H362" i="1"/>
  <c r="E362" i="1"/>
  <c r="J361" i="1"/>
  <c r="I361" i="1"/>
  <c r="H361" i="1"/>
  <c r="E361" i="1"/>
  <c r="J360" i="1"/>
  <c r="I360" i="1"/>
  <c r="H360" i="1"/>
  <c r="E360" i="1"/>
  <c r="J359" i="1"/>
  <c r="I359" i="1"/>
  <c r="H359" i="1"/>
  <c r="E359" i="1"/>
  <c r="J358" i="1"/>
  <c r="I358" i="1"/>
  <c r="H358" i="1"/>
  <c r="E358" i="1"/>
  <c r="J357" i="1"/>
  <c r="I357" i="1"/>
  <c r="H357" i="1"/>
  <c r="E357" i="1"/>
  <c r="J356" i="1"/>
  <c r="I356" i="1"/>
  <c r="H356" i="1"/>
  <c r="E356" i="1"/>
  <c r="J355" i="1"/>
  <c r="I355" i="1"/>
  <c r="H355" i="1"/>
  <c r="E355" i="1"/>
  <c r="J354" i="1"/>
  <c r="I354" i="1"/>
  <c r="H354" i="1"/>
  <c r="E354" i="1"/>
  <c r="J353" i="1"/>
  <c r="I353" i="1"/>
  <c r="H353" i="1"/>
  <c r="E353" i="1"/>
  <c r="J352" i="1"/>
  <c r="I352" i="1"/>
  <c r="H352" i="1"/>
  <c r="E352" i="1"/>
  <c r="J351" i="1"/>
  <c r="I351" i="1"/>
  <c r="H351" i="1"/>
  <c r="E351" i="1"/>
  <c r="J350" i="1"/>
  <c r="I350" i="1"/>
  <c r="H350" i="1"/>
  <c r="E350" i="1"/>
  <c r="J349" i="1"/>
  <c r="I349" i="1"/>
  <c r="H349" i="1"/>
  <c r="E349" i="1"/>
  <c r="J348" i="1"/>
  <c r="I348" i="1"/>
  <c r="H348" i="1"/>
  <c r="E348" i="1"/>
  <c r="J347" i="1"/>
  <c r="I347" i="1"/>
  <c r="H347" i="1"/>
  <c r="E347" i="1"/>
  <c r="J346" i="1"/>
  <c r="I346" i="1"/>
  <c r="H346" i="1"/>
  <c r="E346" i="1"/>
  <c r="J345" i="1"/>
  <c r="I345" i="1"/>
  <c r="H345" i="1"/>
  <c r="E345" i="1"/>
  <c r="J344" i="1"/>
  <c r="I344" i="1"/>
  <c r="H344" i="1"/>
  <c r="E344" i="1"/>
  <c r="J343" i="1"/>
  <c r="I343" i="1"/>
  <c r="H343" i="1"/>
  <c r="E343" i="1"/>
  <c r="J342" i="1"/>
  <c r="I342" i="1"/>
  <c r="H342" i="1"/>
  <c r="E342" i="1"/>
  <c r="J341" i="1"/>
  <c r="I341" i="1"/>
  <c r="H341" i="1"/>
  <c r="E341" i="1"/>
  <c r="J340" i="1"/>
  <c r="I340" i="1"/>
  <c r="H340" i="1"/>
  <c r="E340" i="1"/>
  <c r="J339" i="1"/>
  <c r="I339" i="1"/>
  <c r="H339" i="1"/>
  <c r="E339" i="1"/>
  <c r="J338" i="1"/>
  <c r="I338" i="1"/>
  <c r="H338" i="1"/>
  <c r="E338" i="1"/>
  <c r="J337" i="1"/>
  <c r="I337" i="1"/>
  <c r="H337" i="1"/>
  <c r="E337" i="1"/>
  <c r="J336" i="1"/>
  <c r="I336" i="1"/>
  <c r="H336" i="1"/>
  <c r="E336" i="1"/>
  <c r="J335" i="1"/>
  <c r="I335" i="1"/>
  <c r="H335" i="1"/>
  <c r="E335" i="1"/>
  <c r="J334" i="1"/>
  <c r="I334" i="1"/>
  <c r="H334" i="1"/>
  <c r="E334" i="1"/>
  <c r="J333" i="1"/>
  <c r="I333" i="1"/>
  <c r="H333" i="1"/>
  <c r="E333" i="1"/>
  <c r="J332" i="1"/>
  <c r="I332" i="1"/>
  <c r="H332" i="1"/>
  <c r="E332" i="1"/>
  <c r="J331" i="1"/>
  <c r="I331" i="1"/>
  <c r="H331" i="1"/>
  <c r="E331" i="1"/>
  <c r="J330" i="1"/>
  <c r="I330" i="1"/>
  <c r="H330" i="1"/>
  <c r="E330" i="1"/>
  <c r="J329" i="1"/>
  <c r="I329" i="1"/>
  <c r="H329" i="1"/>
  <c r="E329" i="1"/>
  <c r="J328" i="1"/>
  <c r="I328" i="1"/>
  <c r="H328" i="1"/>
  <c r="E328" i="1"/>
  <c r="J327" i="1"/>
  <c r="I327" i="1"/>
  <c r="H327" i="1"/>
  <c r="E327" i="1"/>
  <c r="J326" i="1"/>
  <c r="I326" i="1"/>
  <c r="H326" i="1"/>
  <c r="E326" i="1"/>
  <c r="J325" i="1"/>
  <c r="I325" i="1"/>
  <c r="H325" i="1"/>
  <c r="E325" i="1"/>
  <c r="J324" i="1"/>
  <c r="I324" i="1"/>
  <c r="H324" i="1"/>
  <c r="E324" i="1"/>
  <c r="J323" i="1"/>
  <c r="I323" i="1"/>
  <c r="H323" i="1"/>
  <c r="E323" i="1"/>
  <c r="J322" i="1"/>
  <c r="I322" i="1"/>
  <c r="H322" i="1"/>
  <c r="E322" i="1"/>
  <c r="J321" i="1"/>
  <c r="I321" i="1"/>
  <c r="H321" i="1"/>
  <c r="E321" i="1"/>
  <c r="J320" i="1"/>
  <c r="I320" i="1"/>
  <c r="H320" i="1"/>
  <c r="E320" i="1"/>
  <c r="J319" i="1"/>
  <c r="I319" i="1"/>
  <c r="H319" i="1"/>
  <c r="E319" i="1"/>
  <c r="J318" i="1"/>
  <c r="I318" i="1"/>
  <c r="H318" i="1"/>
  <c r="E318" i="1"/>
  <c r="J317" i="1"/>
  <c r="I317" i="1"/>
  <c r="H317" i="1"/>
  <c r="E317" i="1"/>
  <c r="J316" i="1"/>
  <c r="I316" i="1"/>
  <c r="H316" i="1"/>
  <c r="E316" i="1"/>
  <c r="J315" i="1"/>
  <c r="I315" i="1"/>
  <c r="H315" i="1"/>
  <c r="E315" i="1"/>
  <c r="J314" i="1"/>
  <c r="I314" i="1"/>
  <c r="H314" i="1"/>
  <c r="E314" i="1"/>
  <c r="J313" i="1"/>
  <c r="I313" i="1"/>
  <c r="H313" i="1"/>
  <c r="E313" i="1"/>
  <c r="J312" i="1"/>
  <c r="I312" i="1"/>
  <c r="H312" i="1"/>
  <c r="E312" i="1"/>
  <c r="J311" i="1"/>
  <c r="I311" i="1"/>
  <c r="H311" i="1"/>
  <c r="E311" i="1"/>
  <c r="J310" i="1"/>
  <c r="I310" i="1"/>
  <c r="H310" i="1"/>
  <c r="E310" i="1"/>
  <c r="J309" i="1"/>
  <c r="I309" i="1"/>
  <c r="H309" i="1"/>
  <c r="E309" i="1"/>
  <c r="J308" i="1"/>
  <c r="I308" i="1"/>
  <c r="H308" i="1"/>
  <c r="E308" i="1"/>
  <c r="J307" i="1"/>
  <c r="I307" i="1"/>
  <c r="H307" i="1"/>
  <c r="E307" i="1"/>
  <c r="J306" i="1"/>
  <c r="I306" i="1"/>
  <c r="H306" i="1"/>
  <c r="E306" i="1"/>
  <c r="J305" i="1"/>
  <c r="I305" i="1"/>
  <c r="H305" i="1"/>
  <c r="E305" i="1"/>
  <c r="J304" i="1"/>
  <c r="I304" i="1"/>
  <c r="H304" i="1"/>
  <c r="E304" i="1"/>
  <c r="J303" i="1"/>
  <c r="I303" i="1"/>
  <c r="H303" i="1"/>
  <c r="E303" i="1"/>
  <c r="J302" i="1"/>
  <c r="I302" i="1"/>
  <c r="H302" i="1"/>
  <c r="E302" i="1"/>
  <c r="J301" i="1"/>
  <c r="I301" i="1"/>
  <c r="H301" i="1"/>
  <c r="E301" i="1"/>
  <c r="J300" i="1"/>
  <c r="I300" i="1"/>
  <c r="H300" i="1"/>
  <c r="E300" i="1"/>
  <c r="J299" i="1"/>
  <c r="I299" i="1"/>
  <c r="H299" i="1"/>
  <c r="E299" i="1"/>
  <c r="J298" i="1"/>
  <c r="I298" i="1"/>
  <c r="H298" i="1"/>
  <c r="E298" i="1"/>
  <c r="J297" i="1"/>
  <c r="I297" i="1"/>
  <c r="H297" i="1"/>
  <c r="E297" i="1"/>
  <c r="J296" i="1"/>
  <c r="I296" i="1"/>
  <c r="H296" i="1"/>
  <c r="E296" i="1"/>
  <c r="J295" i="1"/>
  <c r="I295" i="1"/>
  <c r="H295" i="1"/>
  <c r="E295" i="1"/>
  <c r="J294" i="1"/>
  <c r="I294" i="1"/>
  <c r="H294" i="1"/>
  <c r="E294" i="1"/>
  <c r="J293" i="1"/>
  <c r="I293" i="1"/>
  <c r="H293" i="1"/>
  <c r="E293" i="1"/>
  <c r="J292" i="1"/>
  <c r="I292" i="1"/>
  <c r="H292" i="1"/>
  <c r="E292" i="1"/>
  <c r="J291" i="1"/>
  <c r="I291" i="1"/>
  <c r="H291" i="1"/>
  <c r="E291" i="1"/>
  <c r="J290" i="1"/>
  <c r="I290" i="1"/>
  <c r="H290" i="1"/>
  <c r="E290" i="1"/>
  <c r="J289" i="1"/>
  <c r="I289" i="1"/>
  <c r="H289" i="1"/>
  <c r="E289" i="1"/>
  <c r="J288" i="1"/>
  <c r="I288" i="1"/>
  <c r="H288" i="1"/>
  <c r="E288" i="1"/>
  <c r="J287" i="1"/>
  <c r="I287" i="1"/>
  <c r="H287" i="1"/>
  <c r="E287" i="1"/>
  <c r="J286" i="1"/>
  <c r="I286" i="1"/>
  <c r="H286" i="1"/>
  <c r="E286" i="1"/>
  <c r="J285" i="1"/>
  <c r="I285" i="1"/>
  <c r="H285" i="1"/>
  <c r="E285" i="1"/>
  <c r="J284" i="1"/>
  <c r="I284" i="1"/>
  <c r="H284" i="1"/>
  <c r="E284" i="1"/>
  <c r="J283" i="1"/>
  <c r="I283" i="1"/>
  <c r="H283" i="1"/>
  <c r="E283" i="1"/>
  <c r="J282" i="1"/>
  <c r="I282" i="1"/>
  <c r="H282" i="1"/>
  <c r="E282" i="1"/>
  <c r="J281" i="1"/>
  <c r="I281" i="1"/>
  <c r="H281" i="1"/>
  <c r="E281" i="1"/>
  <c r="J280" i="1"/>
  <c r="I280" i="1"/>
  <c r="H280" i="1"/>
  <c r="E280" i="1"/>
  <c r="J279" i="1"/>
  <c r="I279" i="1"/>
  <c r="H279" i="1"/>
  <c r="E279" i="1"/>
  <c r="J278" i="1"/>
  <c r="I278" i="1"/>
  <c r="H278" i="1"/>
  <c r="E278" i="1"/>
  <c r="J277" i="1"/>
  <c r="I277" i="1"/>
  <c r="H277" i="1"/>
  <c r="E277" i="1"/>
  <c r="J276" i="1"/>
  <c r="I276" i="1"/>
  <c r="H276" i="1"/>
  <c r="E276" i="1"/>
  <c r="J275" i="1"/>
  <c r="I275" i="1"/>
  <c r="H275" i="1"/>
  <c r="E275" i="1"/>
  <c r="J274" i="1"/>
  <c r="I274" i="1"/>
  <c r="H274" i="1"/>
  <c r="E274" i="1"/>
  <c r="J273" i="1"/>
  <c r="I273" i="1"/>
  <c r="H273" i="1"/>
  <c r="E273" i="1"/>
  <c r="J272" i="1"/>
  <c r="I272" i="1"/>
  <c r="H272" i="1"/>
  <c r="E272" i="1"/>
  <c r="J271" i="1"/>
  <c r="I271" i="1"/>
  <c r="H271" i="1"/>
  <c r="E271" i="1"/>
  <c r="J270" i="1"/>
  <c r="I270" i="1"/>
  <c r="H270" i="1"/>
  <c r="E270" i="1"/>
  <c r="J269" i="1"/>
  <c r="I269" i="1"/>
  <c r="H269" i="1"/>
  <c r="E269" i="1"/>
  <c r="J268" i="1"/>
  <c r="I268" i="1"/>
  <c r="H268" i="1"/>
  <c r="E268" i="1"/>
  <c r="J267" i="1"/>
  <c r="I267" i="1"/>
  <c r="H267" i="1"/>
  <c r="E267" i="1"/>
  <c r="J266" i="1"/>
  <c r="I266" i="1"/>
  <c r="H266" i="1"/>
  <c r="E266" i="1"/>
  <c r="J265" i="1"/>
  <c r="I265" i="1"/>
  <c r="H265" i="1"/>
  <c r="E265" i="1"/>
  <c r="J264" i="1"/>
  <c r="I264" i="1"/>
  <c r="H264" i="1"/>
  <c r="E264" i="1"/>
  <c r="J263" i="1"/>
  <c r="I263" i="1"/>
  <c r="H263" i="1"/>
  <c r="E263" i="1"/>
  <c r="J262" i="1"/>
  <c r="I262" i="1"/>
  <c r="H262" i="1"/>
  <c r="E262" i="1"/>
  <c r="J261" i="1"/>
  <c r="I261" i="1"/>
  <c r="H261" i="1"/>
  <c r="E261" i="1"/>
  <c r="J260" i="1"/>
  <c r="I260" i="1"/>
  <c r="H260" i="1"/>
  <c r="E260" i="1"/>
  <c r="J259" i="1"/>
  <c r="I259" i="1"/>
  <c r="H259" i="1"/>
  <c r="E259" i="1"/>
  <c r="J258" i="1"/>
  <c r="I258" i="1"/>
  <c r="H258" i="1"/>
  <c r="E258" i="1"/>
  <c r="J257" i="1"/>
  <c r="I257" i="1"/>
  <c r="H257" i="1"/>
  <c r="E257" i="1"/>
  <c r="J256" i="1"/>
  <c r="I256" i="1"/>
  <c r="H256" i="1"/>
  <c r="E256" i="1"/>
  <c r="J255" i="1"/>
  <c r="I255" i="1"/>
  <c r="H255" i="1"/>
  <c r="E255" i="1"/>
  <c r="J254" i="1"/>
  <c r="I254" i="1"/>
  <c r="H254" i="1"/>
  <c r="E254" i="1"/>
  <c r="J253" i="1"/>
  <c r="I253" i="1"/>
  <c r="H253" i="1"/>
  <c r="E253" i="1"/>
  <c r="J252" i="1"/>
  <c r="I252" i="1"/>
  <c r="H252" i="1"/>
  <c r="E252" i="1"/>
  <c r="J251" i="1"/>
  <c r="I251" i="1"/>
  <c r="H251" i="1"/>
  <c r="E251" i="1"/>
  <c r="J250" i="1"/>
  <c r="I250" i="1"/>
  <c r="H250" i="1"/>
  <c r="E250" i="1"/>
  <c r="J249" i="1"/>
  <c r="I249" i="1"/>
  <c r="H249" i="1"/>
  <c r="E249" i="1"/>
  <c r="J248" i="1"/>
  <c r="I248" i="1"/>
  <c r="H248" i="1"/>
  <c r="E248" i="1"/>
  <c r="J247" i="1"/>
  <c r="I247" i="1"/>
  <c r="H247" i="1"/>
  <c r="E247" i="1"/>
  <c r="J246" i="1"/>
  <c r="I246" i="1"/>
  <c r="H246" i="1"/>
  <c r="E246" i="1"/>
  <c r="J245" i="1"/>
  <c r="I245" i="1"/>
  <c r="H245" i="1"/>
  <c r="E245" i="1"/>
  <c r="J244" i="1"/>
  <c r="I244" i="1"/>
  <c r="H244" i="1"/>
  <c r="E244" i="1"/>
  <c r="J243" i="1"/>
  <c r="I243" i="1"/>
  <c r="H243" i="1"/>
  <c r="E243" i="1"/>
  <c r="J242" i="1"/>
  <c r="I242" i="1"/>
  <c r="H242" i="1"/>
  <c r="E242" i="1"/>
  <c r="J241" i="1"/>
  <c r="I241" i="1"/>
  <c r="H241" i="1"/>
  <c r="E241" i="1"/>
  <c r="J240" i="1"/>
  <c r="I240" i="1"/>
  <c r="H240" i="1"/>
  <c r="E240" i="1"/>
  <c r="J239" i="1"/>
  <c r="I239" i="1"/>
  <c r="H239" i="1"/>
  <c r="E239" i="1"/>
  <c r="J238" i="1"/>
  <c r="I238" i="1"/>
  <c r="H238" i="1"/>
  <c r="E238" i="1"/>
  <c r="J237" i="1"/>
  <c r="I237" i="1"/>
  <c r="H237" i="1"/>
  <c r="E237" i="1"/>
  <c r="J236" i="1"/>
  <c r="I236" i="1"/>
  <c r="H236" i="1"/>
  <c r="E236" i="1"/>
  <c r="J235" i="1"/>
  <c r="I235" i="1"/>
  <c r="H235" i="1"/>
  <c r="E235" i="1"/>
  <c r="J234" i="1"/>
  <c r="I234" i="1"/>
  <c r="H234" i="1"/>
  <c r="E234" i="1"/>
  <c r="J233" i="1"/>
  <c r="I233" i="1"/>
  <c r="H233" i="1"/>
  <c r="E233" i="1"/>
  <c r="J232" i="1"/>
  <c r="I232" i="1"/>
  <c r="H232" i="1"/>
  <c r="E232" i="1"/>
  <c r="J231" i="1"/>
  <c r="I231" i="1"/>
  <c r="H231" i="1"/>
  <c r="E231" i="1"/>
  <c r="J230" i="1"/>
  <c r="I230" i="1"/>
  <c r="H230" i="1"/>
  <c r="E230" i="1"/>
  <c r="J229" i="1"/>
  <c r="I229" i="1"/>
  <c r="H229" i="1"/>
  <c r="E229" i="1"/>
  <c r="J228" i="1"/>
  <c r="I228" i="1"/>
  <c r="H228" i="1"/>
  <c r="E228" i="1"/>
  <c r="J227" i="1"/>
  <c r="I227" i="1"/>
  <c r="H227" i="1"/>
  <c r="E227" i="1"/>
  <c r="J226" i="1"/>
  <c r="I226" i="1"/>
  <c r="H226" i="1"/>
  <c r="E226" i="1"/>
  <c r="J225" i="1"/>
  <c r="I225" i="1"/>
  <c r="H225" i="1"/>
  <c r="E225" i="1"/>
  <c r="J224" i="1"/>
  <c r="I224" i="1"/>
  <c r="H224" i="1"/>
  <c r="E224" i="1"/>
  <c r="J223" i="1"/>
  <c r="I223" i="1"/>
  <c r="H223" i="1"/>
  <c r="E223" i="1"/>
  <c r="J222" i="1"/>
  <c r="I222" i="1"/>
  <c r="H222" i="1"/>
  <c r="E222" i="1"/>
  <c r="J221" i="1"/>
  <c r="I221" i="1"/>
  <c r="H221" i="1"/>
  <c r="E221" i="1"/>
  <c r="J220" i="1"/>
  <c r="I220" i="1"/>
  <c r="H220" i="1"/>
  <c r="E220" i="1"/>
  <c r="J219" i="1"/>
  <c r="I219" i="1"/>
  <c r="H219" i="1"/>
  <c r="E219" i="1"/>
  <c r="J218" i="1"/>
  <c r="I218" i="1"/>
  <c r="H218" i="1"/>
  <c r="E218" i="1"/>
  <c r="J217" i="1"/>
  <c r="I217" i="1"/>
  <c r="H217" i="1"/>
  <c r="E217" i="1"/>
  <c r="J216" i="1"/>
  <c r="I216" i="1"/>
  <c r="H216" i="1"/>
  <c r="E216" i="1"/>
  <c r="J215" i="1"/>
  <c r="I215" i="1"/>
  <c r="H215" i="1"/>
  <c r="E215" i="1"/>
  <c r="J214" i="1"/>
  <c r="I214" i="1"/>
  <c r="H214" i="1"/>
  <c r="E214" i="1"/>
  <c r="J213" i="1"/>
  <c r="I213" i="1"/>
  <c r="H213" i="1"/>
  <c r="E213" i="1"/>
  <c r="J212" i="1"/>
  <c r="I212" i="1"/>
  <c r="H212" i="1"/>
  <c r="E212" i="1"/>
  <c r="J211" i="1"/>
  <c r="I211" i="1"/>
  <c r="H211" i="1"/>
  <c r="E211" i="1"/>
  <c r="J210" i="1"/>
  <c r="I210" i="1"/>
  <c r="H210" i="1"/>
  <c r="E210" i="1"/>
  <c r="J209" i="1"/>
  <c r="I209" i="1"/>
  <c r="H209" i="1"/>
  <c r="E209" i="1"/>
  <c r="J208" i="1"/>
  <c r="I208" i="1"/>
  <c r="H208" i="1"/>
  <c r="E208" i="1"/>
  <c r="J207" i="1"/>
  <c r="I207" i="1"/>
  <c r="H207" i="1"/>
  <c r="E207" i="1"/>
  <c r="J206" i="1"/>
  <c r="I206" i="1"/>
  <c r="H206" i="1"/>
  <c r="E206" i="1"/>
  <c r="J205" i="1"/>
  <c r="I205" i="1"/>
  <c r="H205" i="1"/>
  <c r="E205" i="1"/>
  <c r="J204" i="1"/>
  <c r="I204" i="1"/>
  <c r="H204" i="1"/>
  <c r="E204" i="1"/>
  <c r="J203" i="1"/>
  <c r="I203" i="1"/>
  <c r="H203" i="1"/>
  <c r="E203" i="1"/>
  <c r="J202" i="1"/>
  <c r="I202" i="1"/>
  <c r="H202" i="1"/>
  <c r="E202" i="1"/>
  <c r="J201" i="1"/>
  <c r="I201" i="1"/>
  <c r="H201" i="1"/>
  <c r="E201" i="1"/>
  <c r="J200" i="1"/>
  <c r="I200" i="1"/>
  <c r="H200" i="1"/>
  <c r="E200" i="1"/>
  <c r="J199" i="1"/>
  <c r="I199" i="1"/>
  <c r="H199" i="1"/>
  <c r="E199" i="1"/>
  <c r="J198" i="1"/>
  <c r="I198" i="1"/>
  <c r="H198" i="1"/>
  <c r="E198" i="1"/>
  <c r="J197" i="1"/>
  <c r="I197" i="1"/>
  <c r="H197" i="1"/>
  <c r="E197" i="1"/>
  <c r="J196" i="1"/>
  <c r="I196" i="1"/>
  <c r="H196" i="1"/>
  <c r="E196" i="1"/>
  <c r="J195" i="1"/>
  <c r="I195" i="1"/>
  <c r="H195" i="1"/>
  <c r="E195" i="1"/>
  <c r="J194" i="1"/>
  <c r="I194" i="1"/>
  <c r="H194" i="1"/>
  <c r="E194" i="1"/>
  <c r="J193" i="1"/>
  <c r="I193" i="1"/>
  <c r="H193" i="1"/>
  <c r="E193" i="1"/>
  <c r="J192" i="1"/>
  <c r="I192" i="1"/>
  <c r="H192" i="1"/>
  <c r="E192" i="1"/>
  <c r="J191" i="1"/>
  <c r="I191" i="1"/>
  <c r="H191" i="1"/>
  <c r="E191" i="1"/>
  <c r="J190" i="1"/>
  <c r="I190" i="1"/>
  <c r="H190" i="1"/>
  <c r="E190" i="1"/>
  <c r="J189" i="1"/>
  <c r="I189" i="1"/>
  <c r="H189" i="1"/>
  <c r="E189" i="1"/>
  <c r="J188" i="1"/>
  <c r="I188" i="1"/>
  <c r="H188" i="1"/>
  <c r="E188" i="1"/>
  <c r="J187" i="1"/>
  <c r="I187" i="1"/>
  <c r="H187" i="1"/>
  <c r="E187" i="1"/>
  <c r="J186" i="1"/>
  <c r="I186" i="1"/>
  <c r="H186" i="1"/>
  <c r="E186" i="1"/>
  <c r="J185" i="1"/>
  <c r="I185" i="1"/>
  <c r="H185" i="1"/>
  <c r="E185" i="1"/>
  <c r="J184" i="1"/>
  <c r="I184" i="1"/>
  <c r="H184" i="1"/>
  <c r="E184" i="1"/>
  <c r="J183" i="1"/>
  <c r="I183" i="1"/>
  <c r="H183" i="1"/>
  <c r="E183" i="1"/>
  <c r="J182" i="1"/>
  <c r="I182" i="1"/>
  <c r="H182" i="1"/>
  <c r="E182" i="1"/>
  <c r="J181" i="1"/>
  <c r="I181" i="1"/>
  <c r="H181" i="1"/>
  <c r="E181" i="1"/>
  <c r="J180" i="1"/>
  <c r="I180" i="1"/>
  <c r="H180" i="1"/>
  <c r="E180" i="1"/>
  <c r="J179" i="1"/>
  <c r="I179" i="1"/>
  <c r="H179" i="1"/>
  <c r="E179" i="1"/>
  <c r="J178" i="1"/>
  <c r="I178" i="1"/>
  <c r="H178" i="1"/>
  <c r="E178" i="1"/>
  <c r="J177" i="1"/>
  <c r="I177" i="1"/>
  <c r="H177" i="1"/>
  <c r="E177" i="1"/>
  <c r="J176" i="1"/>
  <c r="I176" i="1"/>
  <c r="H176" i="1"/>
  <c r="E176" i="1"/>
  <c r="J175" i="1"/>
  <c r="I175" i="1"/>
  <c r="H175" i="1"/>
  <c r="E175" i="1"/>
  <c r="J174" i="1"/>
  <c r="I174" i="1"/>
  <c r="H174" i="1"/>
  <c r="E174" i="1"/>
  <c r="J173" i="1"/>
  <c r="I173" i="1"/>
  <c r="H173" i="1"/>
  <c r="E173" i="1"/>
  <c r="J172" i="1"/>
  <c r="I172" i="1"/>
  <c r="H172" i="1"/>
  <c r="E172" i="1"/>
  <c r="J171" i="1"/>
  <c r="I171" i="1"/>
  <c r="H171" i="1"/>
  <c r="E171" i="1"/>
  <c r="J170" i="1"/>
  <c r="I170" i="1"/>
  <c r="H170" i="1"/>
  <c r="E170" i="1"/>
  <c r="J169" i="1"/>
  <c r="I169" i="1"/>
  <c r="H169" i="1"/>
  <c r="E169" i="1"/>
  <c r="J168" i="1"/>
  <c r="I168" i="1"/>
  <c r="H168" i="1"/>
  <c r="E168" i="1"/>
  <c r="J167" i="1"/>
  <c r="I167" i="1"/>
  <c r="H167" i="1"/>
  <c r="E167" i="1"/>
  <c r="J166" i="1"/>
  <c r="I166" i="1"/>
  <c r="H166" i="1"/>
  <c r="E166" i="1"/>
  <c r="J165" i="1"/>
  <c r="I165" i="1"/>
  <c r="H165" i="1"/>
  <c r="E165" i="1"/>
  <c r="J164" i="1"/>
  <c r="I164" i="1"/>
  <c r="H164" i="1"/>
  <c r="E164" i="1"/>
  <c r="J163" i="1"/>
  <c r="I163" i="1"/>
  <c r="H163" i="1"/>
  <c r="E163" i="1"/>
  <c r="J162" i="1"/>
  <c r="I162" i="1"/>
  <c r="H162" i="1"/>
  <c r="E162" i="1"/>
  <c r="J161" i="1"/>
  <c r="I161" i="1"/>
  <c r="H161" i="1"/>
  <c r="E161" i="1"/>
  <c r="J160" i="1"/>
  <c r="I160" i="1"/>
  <c r="H160" i="1"/>
  <c r="E160" i="1"/>
  <c r="J159" i="1"/>
  <c r="I159" i="1"/>
  <c r="H159" i="1"/>
  <c r="E159" i="1"/>
  <c r="J158" i="1"/>
  <c r="I158" i="1"/>
  <c r="H158" i="1"/>
  <c r="E158" i="1"/>
  <c r="J157" i="1"/>
  <c r="I157" i="1"/>
  <c r="H157" i="1"/>
  <c r="E157" i="1"/>
  <c r="J156" i="1"/>
  <c r="I156" i="1"/>
  <c r="H156" i="1"/>
  <c r="E156" i="1"/>
  <c r="J155" i="1"/>
  <c r="I155" i="1"/>
  <c r="H155" i="1"/>
  <c r="E155" i="1"/>
  <c r="J154" i="1"/>
  <c r="I154" i="1"/>
  <c r="H154" i="1"/>
  <c r="E154" i="1"/>
  <c r="J153" i="1"/>
  <c r="I153" i="1"/>
  <c r="H153" i="1"/>
  <c r="E153" i="1"/>
  <c r="J152" i="1"/>
  <c r="I152" i="1"/>
  <c r="H152" i="1"/>
  <c r="E152" i="1"/>
  <c r="J151" i="1"/>
  <c r="I151" i="1"/>
  <c r="H151" i="1"/>
  <c r="E151" i="1"/>
  <c r="J150" i="1"/>
  <c r="I150" i="1"/>
  <c r="H150" i="1"/>
  <c r="E150" i="1"/>
  <c r="J149" i="1"/>
  <c r="I149" i="1"/>
  <c r="H149" i="1"/>
  <c r="E149" i="1"/>
  <c r="J148" i="1"/>
  <c r="I148" i="1"/>
  <c r="H148" i="1"/>
  <c r="E148" i="1"/>
  <c r="J147" i="1"/>
  <c r="I147" i="1"/>
  <c r="H147" i="1"/>
  <c r="E147" i="1"/>
  <c r="J146" i="1"/>
  <c r="I146" i="1"/>
  <c r="H146" i="1"/>
  <c r="E146" i="1"/>
  <c r="J145" i="1"/>
  <c r="I145" i="1"/>
  <c r="H145" i="1"/>
  <c r="E145" i="1"/>
  <c r="J144" i="1"/>
  <c r="I144" i="1"/>
  <c r="H144" i="1"/>
  <c r="E144" i="1"/>
  <c r="J143" i="1"/>
  <c r="I143" i="1"/>
  <c r="H143" i="1"/>
  <c r="E143" i="1"/>
  <c r="J142" i="1"/>
  <c r="I142" i="1"/>
  <c r="H142" i="1"/>
  <c r="E142" i="1"/>
  <c r="J141" i="1"/>
  <c r="I141" i="1"/>
  <c r="H141" i="1"/>
  <c r="E141" i="1"/>
  <c r="J140" i="1"/>
  <c r="I140" i="1"/>
  <c r="H140" i="1"/>
  <c r="E140" i="1"/>
  <c r="J139" i="1"/>
  <c r="I139" i="1"/>
  <c r="H139" i="1"/>
  <c r="E139" i="1"/>
  <c r="J138" i="1"/>
  <c r="I138" i="1"/>
  <c r="H138" i="1"/>
  <c r="E138" i="1"/>
  <c r="J137" i="1"/>
  <c r="I137" i="1"/>
  <c r="H137" i="1"/>
  <c r="E137" i="1"/>
  <c r="J136" i="1"/>
  <c r="I136" i="1"/>
  <c r="H136" i="1"/>
  <c r="E136" i="1"/>
  <c r="J135" i="1"/>
  <c r="I135" i="1"/>
  <c r="H135" i="1"/>
  <c r="E135" i="1"/>
  <c r="J134" i="1"/>
  <c r="I134" i="1"/>
  <c r="H134" i="1"/>
  <c r="E134" i="1"/>
  <c r="J133" i="1"/>
  <c r="I133" i="1"/>
  <c r="H133" i="1"/>
  <c r="E133" i="1"/>
  <c r="J132" i="1"/>
  <c r="I132" i="1"/>
  <c r="H132" i="1"/>
  <c r="E132" i="1"/>
  <c r="J131" i="1"/>
  <c r="I131" i="1"/>
  <c r="H131" i="1"/>
  <c r="E131" i="1"/>
  <c r="J130" i="1"/>
  <c r="I130" i="1"/>
  <c r="H130" i="1"/>
  <c r="E130" i="1"/>
  <c r="J129" i="1"/>
  <c r="I129" i="1"/>
  <c r="H129" i="1"/>
  <c r="E129" i="1"/>
  <c r="J128" i="1"/>
  <c r="I128" i="1"/>
  <c r="H128" i="1"/>
  <c r="E128" i="1"/>
  <c r="J127" i="1"/>
  <c r="I127" i="1"/>
  <c r="H127" i="1"/>
  <c r="E127" i="1"/>
  <c r="J126" i="1"/>
  <c r="I126" i="1"/>
  <c r="H126" i="1"/>
  <c r="E126" i="1"/>
  <c r="J125" i="1"/>
  <c r="I125" i="1"/>
  <c r="H125" i="1"/>
  <c r="E125" i="1"/>
  <c r="J124" i="1"/>
  <c r="I124" i="1"/>
  <c r="H124" i="1"/>
  <c r="E124" i="1"/>
  <c r="J123" i="1"/>
  <c r="I123" i="1"/>
  <c r="H123" i="1"/>
  <c r="E123" i="1"/>
  <c r="J122" i="1"/>
  <c r="I122" i="1"/>
  <c r="H122" i="1"/>
  <c r="E122" i="1"/>
  <c r="J121" i="1"/>
  <c r="I121" i="1"/>
  <c r="H121" i="1"/>
  <c r="E121" i="1"/>
  <c r="J120" i="1"/>
  <c r="I120" i="1"/>
  <c r="H120" i="1"/>
  <c r="E120" i="1"/>
  <c r="J119" i="1"/>
  <c r="I119" i="1"/>
  <c r="H119" i="1"/>
  <c r="E119" i="1"/>
  <c r="J118" i="1"/>
  <c r="I118" i="1"/>
  <c r="H118" i="1"/>
  <c r="E118" i="1"/>
  <c r="J117" i="1"/>
  <c r="I117" i="1"/>
  <c r="H117" i="1"/>
  <c r="E117" i="1"/>
  <c r="J116" i="1"/>
  <c r="I116" i="1"/>
  <c r="H116" i="1"/>
  <c r="E116" i="1"/>
  <c r="J115" i="1"/>
  <c r="I115" i="1"/>
  <c r="H115" i="1"/>
  <c r="E115" i="1"/>
  <c r="J114" i="1"/>
  <c r="I114" i="1"/>
  <c r="H114" i="1"/>
  <c r="E114" i="1"/>
  <c r="J113" i="1"/>
  <c r="I113" i="1"/>
  <c r="H113" i="1"/>
  <c r="E113" i="1"/>
  <c r="J112" i="1"/>
  <c r="I112" i="1"/>
  <c r="H112" i="1"/>
  <c r="E112" i="1"/>
  <c r="J111" i="1"/>
  <c r="I111" i="1"/>
  <c r="H111" i="1"/>
  <c r="E111" i="1"/>
  <c r="J110" i="1"/>
  <c r="I110" i="1"/>
  <c r="H110" i="1"/>
  <c r="E110" i="1"/>
  <c r="J109" i="1"/>
  <c r="I109" i="1"/>
  <c r="H109" i="1"/>
  <c r="E109" i="1"/>
  <c r="J108" i="1"/>
  <c r="I108" i="1"/>
  <c r="H108" i="1"/>
  <c r="E108" i="1"/>
  <c r="J107" i="1"/>
  <c r="I107" i="1"/>
  <c r="H107" i="1"/>
  <c r="E107" i="1"/>
  <c r="J106" i="1"/>
  <c r="I106" i="1"/>
  <c r="H106" i="1"/>
  <c r="E106" i="1"/>
  <c r="J105" i="1"/>
  <c r="I105" i="1"/>
  <c r="H105" i="1"/>
  <c r="E105" i="1"/>
  <c r="J104" i="1"/>
  <c r="I104" i="1"/>
  <c r="H104" i="1"/>
  <c r="E104" i="1"/>
  <c r="J103" i="1"/>
  <c r="I103" i="1"/>
  <c r="H103" i="1"/>
  <c r="E103" i="1"/>
  <c r="J102" i="1"/>
  <c r="I102" i="1"/>
  <c r="H102" i="1"/>
  <c r="E102" i="1"/>
  <c r="J101" i="1"/>
  <c r="I101" i="1"/>
  <c r="H101" i="1"/>
  <c r="E101" i="1"/>
  <c r="J100" i="1"/>
  <c r="I100" i="1"/>
  <c r="H100" i="1"/>
  <c r="E100" i="1"/>
  <c r="J99" i="1"/>
  <c r="I99" i="1"/>
  <c r="H99" i="1"/>
  <c r="E99" i="1"/>
  <c r="J98" i="1"/>
  <c r="I98" i="1"/>
  <c r="H98" i="1"/>
  <c r="E98" i="1"/>
  <c r="J97" i="1"/>
  <c r="I97" i="1"/>
  <c r="H97" i="1"/>
  <c r="E97" i="1"/>
  <c r="J96" i="1"/>
  <c r="I96" i="1"/>
  <c r="H96" i="1"/>
  <c r="E96" i="1"/>
  <c r="J95" i="1"/>
  <c r="I95" i="1"/>
  <c r="H95" i="1"/>
  <c r="E95" i="1"/>
  <c r="J94" i="1"/>
  <c r="I94" i="1"/>
  <c r="H94" i="1"/>
  <c r="E94" i="1"/>
  <c r="J93" i="1"/>
  <c r="I93" i="1"/>
  <c r="H93" i="1"/>
  <c r="E93" i="1"/>
  <c r="J92" i="1"/>
  <c r="I92" i="1"/>
  <c r="H92" i="1"/>
  <c r="E92" i="1"/>
  <c r="J91" i="1"/>
  <c r="I91" i="1"/>
  <c r="H91" i="1"/>
  <c r="E91" i="1"/>
  <c r="J90" i="1"/>
  <c r="I90" i="1"/>
  <c r="H90" i="1"/>
  <c r="E90" i="1"/>
  <c r="J89" i="1"/>
  <c r="I89" i="1"/>
  <c r="H89" i="1"/>
  <c r="E89" i="1"/>
  <c r="J88" i="1"/>
  <c r="I88" i="1"/>
  <c r="H88" i="1"/>
  <c r="E88" i="1"/>
  <c r="J87" i="1"/>
  <c r="I87" i="1"/>
  <c r="H87" i="1"/>
  <c r="E87" i="1"/>
  <c r="J86" i="1"/>
  <c r="I86" i="1"/>
  <c r="H86" i="1"/>
  <c r="E86" i="1"/>
  <c r="J85" i="1"/>
  <c r="I85" i="1"/>
  <c r="H85" i="1"/>
  <c r="E85" i="1"/>
  <c r="J84" i="1"/>
  <c r="I84" i="1"/>
  <c r="H84" i="1"/>
  <c r="E84" i="1"/>
  <c r="J83" i="1"/>
  <c r="I83" i="1"/>
  <c r="H83" i="1"/>
  <c r="E83" i="1"/>
  <c r="J82" i="1"/>
  <c r="I82" i="1"/>
  <c r="H82" i="1"/>
  <c r="E82" i="1"/>
  <c r="J81" i="1"/>
  <c r="I81" i="1"/>
  <c r="H81" i="1"/>
  <c r="E81" i="1"/>
  <c r="J80" i="1"/>
  <c r="I80" i="1"/>
  <c r="H80" i="1"/>
  <c r="E80" i="1"/>
  <c r="J79" i="1"/>
  <c r="I79" i="1"/>
  <c r="H79" i="1"/>
  <c r="E79" i="1"/>
  <c r="J78" i="1"/>
  <c r="I78" i="1"/>
  <c r="H78" i="1"/>
  <c r="E78" i="1"/>
  <c r="J77" i="1"/>
  <c r="I77" i="1"/>
  <c r="H77" i="1"/>
  <c r="E77" i="1"/>
  <c r="J76" i="1"/>
  <c r="I76" i="1"/>
  <c r="H76" i="1"/>
  <c r="E76" i="1"/>
  <c r="J75" i="1"/>
  <c r="I75" i="1"/>
  <c r="H75" i="1"/>
  <c r="E75" i="1"/>
  <c r="J74" i="1"/>
  <c r="I74" i="1"/>
  <c r="H74" i="1"/>
  <c r="E74" i="1"/>
  <c r="J73" i="1"/>
  <c r="I73" i="1"/>
  <c r="H73" i="1"/>
  <c r="E73" i="1"/>
  <c r="J72" i="1"/>
  <c r="I72" i="1"/>
  <c r="H72" i="1"/>
  <c r="E72" i="1"/>
  <c r="J71" i="1"/>
  <c r="I71" i="1"/>
  <c r="H71" i="1"/>
  <c r="E71" i="1"/>
  <c r="J70" i="1"/>
  <c r="I70" i="1"/>
  <c r="H70" i="1"/>
  <c r="E70" i="1"/>
  <c r="J69" i="1"/>
  <c r="I69" i="1"/>
  <c r="H69" i="1"/>
  <c r="E69" i="1"/>
  <c r="J68" i="1"/>
  <c r="I68" i="1"/>
  <c r="H68" i="1"/>
  <c r="E68" i="1"/>
  <c r="J67" i="1"/>
  <c r="I67" i="1"/>
  <c r="H67" i="1"/>
  <c r="E67" i="1"/>
  <c r="J66" i="1"/>
  <c r="I66" i="1"/>
  <c r="H66" i="1"/>
  <c r="E66" i="1"/>
  <c r="J65" i="1"/>
  <c r="I65" i="1"/>
  <c r="H65" i="1"/>
  <c r="E65" i="1"/>
  <c r="J64" i="1"/>
  <c r="I64" i="1"/>
  <c r="H64" i="1"/>
  <c r="E64" i="1"/>
  <c r="J63" i="1"/>
  <c r="I63" i="1"/>
  <c r="H63" i="1"/>
  <c r="E63" i="1"/>
  <c r="J62" i="1"/>
  <c r="I62" i="1"/>
  <c r="H62" i="1"/>
  <c r="E62" i="1"/>
  <c r="J61" i="1"/>
  <c r="I61" i="1"/>
  <c r="H61" i="1"/>
  <c r="E61" i="1"/>
  <c r="J60" i="1"/>
  <c r="I60" i="1"/>
  <c r="H60" i="1"/>
  <c r="E60" i="1"/>
  <c r="J59" i="1"/>
  <c r="I59" i="1"/>
  <c r="H59" i="1"/>
  <c r="E59" i="1"/>
  <c r="J58" i="1"/>
  <c r="I58" i="1"/>
  <c r="H58" i="1"/>
  <c r="E58" i="1"/>
  <c r="J57" i="1"/>
  <c r="I57" i="1"/>
  <c r="H57" i="1"/>
  <c r="E57" i="1"/>
  <c r="J56" i="1"/>
  <c r="I56" i="1"/>
  <c r="H56" i="1"/>
  <c r="E56" i="1"/>
  <c r="J55" i="1"/>
  <c r="I55" i="1"/>
  <c r="H55" i="1"/>
  <c r="E55" i="1"/>
  <c r="J54" i="1"/>
  <c r="I54" i="1"/>
  <c r="H54" i="1"/>
  <c r="E54" i="1"/>
  <c r="J53" i="1"/>
  <c r="I53" i="1"/>
  <c r="H53" i="1"/>
  <c r="E53" i="1"/>
  <c r="J52" i="1"/>
  <c r="I52" i="1"/>
  <c r="H52" i="1"/>
  <c r="E52" i="1"/>
  <c r="J51" i="1"/>
  <c r="I51" i="1"/>
  <c r="H51" i="1"/>
  <c r="E51" i="1"/>
  <c r="J50" i="1"/>
  <c r="I50" i="1"/>
  <c r="H50" i="1"/>
  <c r="E50" i="1"/>
  <c r="J49" i="1"/>
  <c r="I49" i="1"/>
  <c r="H49" i="1"/>
  <c r="E49" i="1"/>
  <c r="J48" i="1"/>
  <c r="I48" i="1"/>
  <c r="H48" i="1"/>
  <c r="E48" i="1"/>
  <c r="J47" i="1"/>
  <c r="I47" i="1"/>
  <c r="H47" i="1"/>
  <c r="E47" i="1"/>
  <c r="J46" i="1"/>
  <c r="I46" i="1"/>
  <c r="H46" i="1"/>
  <c r="E46" i="1"/>
  <c r="J45" i="1"/>
  <c r="I45" i="1"/>
  <c r="H45" i="1"/>
  <c r="E45" i="1"/>
  <c r="J44" i="1"/>
  <c r="I44" i="1"/>
  <c r="H44" i="1"/>
  <c r="E44" i="1"/>
  <c r="J43" i="1"/>
  <c r="I43" i="1"/>
  <c r="H43" i="1"/>
  <c r="E43" i="1"/>
  <c r="J42" i="1"/>
  <c r="I42" i="1"/>
  <c r="H42" i="1"/>
  <c r="E42" i="1"/>
  <c r="J41" i="1"/>
  <c r="I41" i="1"/>
  <c r="H41" i="1"/>
  <c r="E41" i="1"/>
  <c r="J40" i="1"/>
  <c r="I40" i="1"/>
  <c r="H40" i="1"/>
  <c r="E40" i="1"/>
  <c r="J39" i="1"/>
  <c r="I39" i="1"/>
  <c r="H39" i="1"/>
  <c r="E39" i="1"/>
  <c r="J38" i="1"/>
  <c r="I38" i="1"/>
  <c r="H38" i="1"/>
  <c r="E38" i="1"/>
  <c r="J37" i="1"/>
  <c r="I37" i="1"/>
  <c r="H37" i="1"/>
  <c r="E37" i="1"/>
  <c r="J36" i="1"/>
  <c r="I36" i="1"/>
  <c r="H36" i="1"/>
  <c r="E36" i="1"/>
  <c r="J35" i="1"/>
  <c r="I35" i="1"/>
  <c r="H35" i="1"/>
  <c r="E35" i="1"/>
  <c r="J34" i="1"/>
  <c r="I34" i="1"/>
  <c r="H34" i="1"/>
  <c r="E34" i="1"/>
  <c r="J33" i="1"/>
  <c r="I33" i="1"/>
  <c r="H33" i="1"/>
  <c r="E33" i="1"/>
  <c r="J32" i="1"/>
  <c r="I32" i="1"/>
  <c r="H32" i="1"/>
  <c r="E32" i="1"/>
  <c r="J31" i="1"/>
  <c r="I31" i="1"/>
  <c r="H31" i="1"/>
  <c r="E31" i="1"/>
  <c r="J30" i="1"/>
  <c r="I30" i="1"/>
  <c r="H30" i="1"/>
  <c r="E30" i="1"/>
  <c r="J29" i="1"/>
  <c r="I29" i="1"/>
  <c r="H29" i="1"/>
  <c r="E29" i="1"/>
  <c r="J28" i="1"/>
  <c r="I28" i="1"/>
  <c r="H28" i="1"/>
  <c r="E28" i="1"/>
  <c r="J27" i="1"/>
  <c r="I27" i="1"/>
  <c r="H27" i="1"/>
  <c r="E27" i="1"/>
  <c r="J26" i="1"/>
  <c r="I26" i="1"/>
  <c r="H26" i="1"/>
  <c r="E26" i="1"/>
  <c r="J25" i="1"/>
  <c r="I25" i="1"/>
  <c r="H25" i="1"/>
  <c r="E25" i="1"/>
  <c r="J24" i="1"/>
  <c r="I24" i="1"/>
  <c r="H24" i="1"/>
  <c r="E24" i="1"/>
  <c r="J23" i="1"/>
  <c r="I23" i="1"/>
  <c r="H23" i="1"/>
  <c r="E23" i="1"/>
  <c r="J22" i="1"/>
  <c r="I22" i="1"/>
  <c r="H22" i="1"/>
  <c r="E22" i="1"/>
  <c r="J21" i="1"/>
  <c r="I21" i="1"/>
  <c r="H21" i="1"/>
  <c r="E21" i="1"/>
  <c r="J20" i="1"/>
  <c r="I20" i="1"/>
  <c r="H20" i="1"/>
  <c r="E20" i="1"/>
  <c r="J19" i="1"/>
  <c r="I19" i="1"/>
  <c r="H19" i="1"/>
  <c r="E19" i="1"/>
  <c r="J18" i="1"/>
  <c r="I18" i="1"/>
  <c r="H18" i="1"/>
  <c r="E18" i="1"/>
  <c r="J17" i="1"/>
  <c r="I17" i="1"/>
  <c r="H17" i="1"/>
  <c r="E17" i="1"/>
  <c r="J16" i="1"/>
  <c r="I16" i="1"/>
  <c r="H16" i="1"/>
  <c r="E16" i="1"/>
  <c r="J15" i="1"/>
  <c r="I15" i="1"/>
  <c r="H15" i="1"/>
  <c r="E15" i="1"/>
  <c r="J14" i="1"/>
  <c r="I14" i="1"/>
  <c r="H14" i="1"/>
  <c r="E14" i="1"/>
  <c r="J13" i="1"/>
  <c r="I13" i="1"/>
  <c r="H13" i="1"/>
  <c r="E13" i="1"/>
  <c r="J12" i="1"/>
  <c r="I12" i="1"/>
  <c r="H12" i="1"/>
  <c r="E12" i="1"/>
  <c r="J11" i="1"/>
  <c r="I11" i="1"/>
  <c r="H11" i="1"/>
  <c r="E11" i="1"/>
  <c r="J10" i="1"/>
  <c r="I10" i="1"/>
  <c r="H10" i="1"/>
  <c r="E10" i="1"/>
  <c r="J9" i="1"/>
  <c r="I9" i="1"/>
  <c r="H9" i="1"/>
  <c r="E9" i="1"/>
  <c r="J8" i="1"/>
  <c r="I8" i="1"/>
  <c r="H8" i="1"/>
  <c r="E8" i="1"/>
  <c r="J7" i="1"/>
  <c r="I7" i="1"/>
  <c r="H7" i="1"/>
  <c r="E7" i="1"/>
  <c r="J6" i="1"/>
  <c r="I6" i="1"/>
  <c r="H6" i="1"/>
  <c r="E6" i="1"/>
  <c r="J5" i="1"/>
  <c r="I5" i="1"/>
  <c r="H5" i="1"/>
  <c r="E5" i="1"/>
  <c r="J4" i="1"/>
  <c r="I4" i="1"/>
  <c r="H4" i="1"/>
  <c r="E4" i="1"/>
  <c r="J3" i="1"/>
  <c r="I3" i="1"/>
  <c r="H3" i="1"/>
  <c r="E3" i="1"/>
  <c r="J2" i="1"/>
  <c r="I2" i="1"/>
  <c r="H2" i="1"/>
  <c r="E2" i="1"/>
</calcChain>
</file>

<file path=xl/sharedStrings.xml><?xml version="1.0" encoding="utf-8"?>
<sst xmlns="http://schemas.openxmlformats.org/spreadsheetml/2006/main" count="1234" uniqueCount="18">
  <si>
    <t>Competition</t>
  </si>
  <si>
    <t>Round</t>
  </si>
  <si>
    <t>Fixture</t>
  </si>
  <si>
    <t>Home Seed</t>
  </si>
  <si>
    <t>Home</t>
  </si>
  <si>
    <t>vs</t>
  </si>
  <si>
    <t>Away Seed</t>
  </si>
  <si>
    <t>Away</t>
  </si>
  <si>
    <t>Venue</t>
  </si>
  <si>
    <t>Date</t>
  </si>
  <si>
    <t>2026 Midweek Women's 35+ A NW</t>
  </si>
  <si>
    <t>2026 Midweek Women's 35+ A SE</t>
  </si>
  <si>
    <t>2026 Midweek Women's 35+ B</t>
  </si>
  <si>
    <t>2026 Midweek Women's 45+</t>
  </si>
  <si>
    <t>2026 Midweek Men's 50+ NW</t>
  </si>
  <si>
    <t>2026 Midweek Men's 50+ SE</t>
  </si>
  <si>
    <t>2026 Midweek Men's 60+ A</t>
  </si>
  <si>
    <t>2026 Midweek Men's 60+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</si>
</sst>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9]dd\-mmm\-yy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0AD47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1" fillId="2" borderId="2" xfId="0" applyFont="1" applyFill="1" applyBorder="1" applyAlignment="1">
      <alignment vertical="center" wrapText="1"/>
    </xf>
    <xf numFmtId="164" fontId="0" fillId="0" borderId="0" xfId="0" applyNumberFormat="1"/>
    <xf numFmtId="0" fontId="1" fillId="0" borderId="0" xfId="0" applyFont="1"/>
    <xf numFmtId="0" fontId="1" fillId="3" borderId="3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omputer%20stuff\download%20dump%208-5-2026\Midweek%20competitions%202026%20draft%20(1)v2.xlsx" TargetMode="External"/><Relationship Id="rId1" Type="http://schemas.openxmlformats.org/officeDocument/2006/relationships/externalLinkPath" Target="file:///D:\computer%20stuff\download%20dump%208-5-2026\Midweek%20competitions%202026%20draft%20(1)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T18R"/>
      <sheetName val="6T18R"/>
      <sheetName val="8T18R"/>
      <sheetName val="10T18R"/>
      <sheetName val="12T18R"/>
      <sheetName val="10T14R"/>
      <sheetName val="10T18R-W"/>
      <sheetName val="10T8R"/>
      <sheetName val="12T22R"/>
      <sheetName val="12T-10TVL3"/>
      <sheetName val="12T-10TVL3 v2"/>
      <sheetName val="14T14R"/>
      <sheetName val="16T18R"/>
      <sheetName val="8T14R"/>
      <sheetName val="Monday"/>
      <sheetName val="Sheet5"/>
      <sheetName val="Sheet4"/>
      <sheetName val="Sort Monday weeks"/>
      <sheetName val="Sheet3"/>
      <sheetName val="Sheet2"/>
      <sheetName val="Wednesday"/>
      <sheetName val="new sort wednesday"/>
      <sheetName val="Sort Wednesday"/>
      <sheetName val="Sheet1"/>
      <sheetName val="sorted Wed weeks"/>
      <sheetName val="GC Wed new"/>
      <sheetName val="TEmplate"/>
      <sheetName val="Sheet14"/>
      <sheetName val="ground clash Monday"/>
      <sheetName val="Ground Clash Wednesday"/>
      <sheetName val="Sheet7"/>
      <sheetName val="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38">
          <cell r="A38">
            <v>4</v>
          </cell>
          <cell r="B38" t="str">
            <v>Greensborough Hockey Club</v>
          </cell>
          <cell r="C38" t="str">
            <v>GRN</v>
          </cell>
          <cell r="E38">
            <v>1</v>
          </cell>
          <cell r="F38" t="str">
            <v>Hawthorn Red</v>
          </cell>
          <cell r="G38" t="str">
            <v>HAW</v>
          </cell>
          <cell r="I38">
            <v>4</v>
          </cell>
          <cell r="J38" t="str">
            <v>Camberwell Hockey Club</v>
          </cell>
          <cell r="K38" t="str">
            <v>CAM</v>
          </cell>
          <cell r="M38">
            <v>5</v>
          </cell>
          <cell r="N38" t="str">
            <v>Camberwell Hockey Club</v>
          </cell>
          <cell r="O38" t="str">
            <v>CAM</v>
          </cell>
          <cell r="AC38">
            <v>1</v>
          </cell>
          <cell r="AD38" t="str">
            <v>Wednesday</v>
          </cell>
          <cell r="AE38">
            <v>46127</v>
          </cell>
        </row>
        <row r="39">
          <cell r="A39">
            <v>6</v>
          </cell>
          <cell r="B39" t="str">
            <v>Geelong Hockey Association</v>
          </cell>
          <cell r="C39" t="str">
            <v>GEL</v>
          </cell>
          <cell r="E39">
            <v>4</v>
          </cell>
          <cell r="F39" t="str">
            <v>Mentone Hockey Club</v>
          </cell>
          <cell r="G39" t="str">
            <v>MNT</v>
          </cell>
          <cell r="I39">
            <v>2</v>
          </cell>
          <cell r="J39" t="str">
            <v>Hawthorn Blue</v>
          </cell>
          <cell r="K39" t="str">
            <v>HAW</v>
          </cell>
          <cell r="M39">
            <v>12</v>
          </cell>
          <cell r="N39" t="str">
            <v>OEMHC MUDS</v>
          </cell>
          <cell r="O39" t="str">
            <v>HAW</v>
          </cell>
          <cell r="AC39">
            <v>2</v>
          </cell>
          <cell r="AD39" t="str">
            <v>Wednesday</v>
          </cell>
          <cell r="AE39">
            <v>46134</v>
          </cell>
        </row>
        <row r="40">
          <cell r="A40">
            <v>1</v>
          </cell>
          <cell r="B40" t="str">
            <v>Footscray Hockey Club</v>
          </cell>
          <cell r="C40" t="str">
            <v>FHC</v>
          </cell>
          <cell r="E40">
            <v>2</v>
          </cell>
          <cell r="F40" t="str">
            <v>KBH Brumbies Hockey Club</v>
          </cell>
          <cell r="G40" t="str">
            <v>ELG</v>
          </cell>
          <cell r="I40">
            <v>1</v>
          </cell>
          <cell r="J40" t="str">
            <v>PEGS Hockey Club</v>
          </cell>
          <cell r="K40" t="str">
            <v>PEGS</v>
          </cell>
          <cell r="M40">
            <v>7</v>
          </cell>
          <cell r="N40" t="str">
            <v>Hawthorn Hockey Club</v>
          </cell>
          <cell r="O40" t="str">
            <v>HAW</v>
          </cell>
          <cell r="AC40">
            <v>3</v>
          </cell>
          <cell r="AD40" t="str">
            <v>Wednesday</v>
          </cell>
          <cell r="AE40">
            <v>46141</v>
          </cell>
        </row>
        <row r="41">
          <cell r="A41">
            <v>5</v>
          </cell>
          <cell r="B41" t="str">
            <v>Werribee Hockey Club</v>
          </cell>
          <cell r="C41" t="str">
            <v>WER</v>
          </cell>
          <cell r="E41">
            <v>3</v>
          </cell>
          <cell r="F41" t="str">
            <v>Doncaster Hockey Club</v>
          </cell>
          <cell r="G41" t="str">
            <v>DON</v>
          </cell>
          <cell r="I41">
            <v>6</v>
          </cell>
          <cell r="J41" t="str">
            <v>Brunswick Hockey Club 2</v>
          </cell>
          <cell r="K41" t="str">
            <v>BRU</v>
          </cell>
          <cell r="M41">
            <v>9</v>
          </cell>
          <cell r="N41" t="str">
            <v>Footscray Hockey Club</v>
          </cell>
          <cell r="O41" t="str">
            <v>FHC</v>
          </cell>
          <cell r="AC41">
            <v>4</v>
          </cell>
          <cell r="AD41" t="str">
            <v>Wednesday</v>
          </cell>
          <cell r="AE41">
            <v>46148</v>
          </cell>
        </row>
        <row r="42">
          <cell r="A42">
            <v>2</v>
          </cell>
          <cell r="B42" t="str">
            <v>Melbourne University Hockey Club</v>
          </cell>
          <cell r="C42" t="str">
            <v>ESS</v>
          </cell>
          <cell r="E42">
            <v>5</v>
          </cell>
          <cell r="F42" t="str">
            <v>MCC Hockey Section</v>
          </cell>
          <cell r="G42" t="str">
            <v>ELW</v>
          </cell>
          <cell r="I42">
            <v>8</v>
          </cell>
          <cell r="J42" t="str">
            <v>Knox</v>
          </cell>
          <cell r="K42" t="str">
            <v>KNX</v>
          </cell>
          <cell r="M42">
            <v>10</v>
          </cell>
          <cell r="N42" t="str">
            <v>MCC Hockey Section</v>
          </cell>
          <cell r="O42" t="str">
            <v>ELW</v>
          </cell>
          <cell r="AC42">
            <v>5</v>
          </cell>
          <cell r="AD42" t="str">
            <v>Wednesday</v>
          </cell>
          <cell r="AE42">
            <v>46155</v>
          </cell>
        </row>
        <row r="43">
          <cell r="A43">
            <v>3</v>
          </cell>
          <cell r="B43" t="str">
            <v>Bye</v>
          </cell>
          <cell r="E43">
            <v>6</v>
          </cell>
          <cell r="F43" t="str">
            <v>Southern United Hockey Club</v>
          </cell>
          <cell r="G43" t="str">
            <v>MBN</v>
          </cell>
          <cell r="I43">
            <v>7</v>
          </cell>
          <cell r="J43" t="str">
            <v>Bayside Powerhouse Saints Hockey Club</v>
          </cell>
          <cell r="K43" t="str">
            <v>APK</v>
          </cell>
          <cell r="M43">
            <v>4</v>
          </cell>
          <cell r="N43" t="str">
            <v>Greensborough Hockey Club</v>
          </cell>
          <cell r="O43" t="str">
            <v>GRN</v>
          </cell>
          <cell r="AC43">
            <v>6</v>
          </cell>
          <cell r="AD43" t="str">
            <v>Wednesday</v>
          </cell>
          <cell r="AE43">
            <v>46162</v>
          </cell>
        </row>
        <row r="44">
          <cell r="I44">
            <v>3</v>
          </cell>
          <cell r="J44" t="str">
            <v>Bye</v>
          </cell>
          <cell r="M44">
            <v>6</v>
          </cell>
          <cell r="N44" t="str">
            <v>Essendon Hockey</v>
          </cell>
          <cell r="O44" t="str">
            <v>ESS</v>
          </cell>
          <cell r="AC44">
            <v>7</v>
          </cell>
          <cell r="AD44" t="str">
            <v>Wednesday</v>
          </cell>
          <cell r="AE44">
            <v>46169</v>
          </cell>
        </row>
        <row r="45">
          <cell r="I45">
            <v>5</v>
          </cell>
          <cell r="J45" t="str">
            <v>MHSOB</v>
          </cell>
          <cell r="K45" t="str">
            <v>MHS</v>
          </cell>
          <cell r="M45">
            <v>3</v>
          </cell>
          <cell r="N45" t="str">
            <v>Monash University Hockey Club</v>
          </cell>
          <cell r="O45" t="str">
            <v>MON</v>
          </cell>
          <cell r="AC45">
            <v>8</v>
          </cell>
          <cell r="AD45" t="str">
            <v>Wednesday</v>
          </cell>
          <cell r="AE45">
            <v>46176</v>
          </cell>
        </row>
        <row r="46">
          <cell r="M46">
            <v>8</v>
          </cell>
          <cell r="N46" t="str">
            <v>Brunswick Hockey Club</v>
          </cell>
          <cell r="O46" t="str">
            <v>BRU</v>
          </cell>
          <cell r="AD46" t="str">
            <v>Wednesday</v>
          </cell>
          <cell r="AE46">
            <v>46183</v>
          </cell>
        </row>
        <row r="47">
          <cell r="M47">
            <v>1</v>
          </cell>
          <cell r="N47" t="str">
            <v> Toorak East Malvern Hockey Club</v>
          </cell>
          <cell r="O47" t="str">
            <v>HAW</v>
          </cell>
          <cell r="AC47">
            <v>9</v>
          </cell>
          <cell r="AD47" t="str">
            <v>Wednesday</v>
          </cell>
          <cell r="AE47">
            <v>46190</v>
          </cell>
        </row>
        <row r="48">
          <cell r="M48">
            <v>2</v>
          </cell>
          <cell r="N48" t="str">
            <v>Southern United Hockey Club</v>
          </cell>
          <cell r="O48" t="str">
            <v>MBN</v>
          </cell>
          <cell r="AC48">
            <v>10</v>
          </cell>
          <cell r="AD48" t="str">
            <v>Wednesday</v>
          </cell>
          <cell r="AE48">
            <v>46197</v>
          </cell>
        </row>
        <row r="49">
          <cell r="M49">
            <v>11</v>
          </cell>
          <cell r="N49" t="str">
            <v>Bye</v>
          </cell>
          <cell r="AC49">
            <v>11</v>
          </cell>
          <cell r="AD49" t="str">
            <v>Wednesday</v>
          </cell>
          <cell r="AE49">
            <v>46204</v>
          </cell>
        </row>
        <row r="50">
          <cell r="AD50" t="str">
            <v>Wednesday</v>
          </cell>
          <cell r="AE50">
            <v>46211</v>
          </cell>
        </row>
        <row r="51">
          <cell r="AC51">
            <v>12</v>
          </cell>
          <cell r="AD51" t="str">
            <v>Wednesday</v>
          </cell>
          <cell r="AE51">
            <v>46218</v>
          </cell>
        </row>
        <row r="52">
          <cell r="AC52">
            <v>13</v>
          </cell>
          <cell r="AD52" t="str">
            <v>Wednesday</v>
          </cell>
          <cell r="AE52">
            <v>46225</v>
          </cell>
        </row>
        <row r="53">
          <cell r="AC53">
            <v>14</v>
          </cell>
          <cell r="AD53" t="str">
            <v>Wednesday</v>
          </cell>
          <cell r="AE53">
            <v>46232</v>
          </cell>
        </row>
        <row r="54">
          <cell r="A54">
            <v>1</v>
          </cell>
          <cell r="B54" t="str">
            <v>Hockey Geelong</v>
          </cell>
          <cell r="C54" t="str">
            <v>GEL</v>
          </cell>
          <cell r="E54">
            <v>2</v>
          </cell>
          <cell r="F54" t="str">
            <v>Southern United Hockey Club 1</v>
          </cell>
          <cell r="G54" t="str">
            <v>MBN</v>
          </cell>
          <cell r="I54">
            <v>8</v>
          </cell>
          <cell r="J54" t="str">
            <v>Southern A</v>
          </cell>
          <cell r="K54" t="str">
            <v>DAN</v>
          </cell>
          <cell r="M54">
            <v>8</v>
          </cell>
          <cell r="N54" t="str">
            <v>MHSOB</v>
          </cell>
          <cell r="O54" t="str">
            <v>APK</v>
          </cell>
          <cell r="AC54">
            <v>15</v>
          </cell>
          <cell r="AD54" t="str">
            <v>Wednesday</v>
          </cell>
          <cell r="AE54">
            <v>46239</v>
          </cell>
        </row>
        <row r="55">
          <cell r="A55">
            <v>9</v>
          </cell>
          <cell r="B55" t="str">
            <v>Footscray Hockey Club</v>
          </cell>
          <cell r="C55" t="str">
            <v>FHC</v>
          </cell>
          <cell r="E55">
            <v>5</v>
          </cell>
          <cell r="F55" t="str">
            <v>KBH Mustangs</v>
          </cell>
          <cell r="G55" t="str">
            <v>ELG</v>
          </cell>
          <cell r="I55">
            <v>4</v>
          </cell>
          <cell r="J55" t="str">
            <v>Bayside Powerhouse Saints Hockey Club</v>
          </cell>
          <cell r="K55" t="str">
            <v>APK</v>
          </cell>
          <cell r="M55">
            <v>4</v>
          </cell>
          <cell r="N55" t="str">
            <v>Camberwell Tangerine</v>
          </cell>
          <cell r="O55" t="str">
            <v>CAM</v>
          </cell>
          <cell r="AC55">
            <v>16</v>
          </cell>
          <cell r="AD55" t="str">
            <v>Wednesday</v>
          </cell>
          <cell r="AE55">
            <v>46246</v>
          </cell>
        </row>
        <row r="56">
          <cell r="A56">
            <v>2</v>
          </cell>
          <cell r="B56" t="str">
            <v>Brunswick Hockey Club</v>
          </cell>
          <cell r="C56" t="str">
            <v>BRU</v>
          </cell>
          <cell r="E56">
            <v>4</v>
          </cell>
          <cell r="F56" t="str">
            <v>Bye</v>
          </cell>
          <cell r="I56">
            <v>1</v>
          </cell>
          <cell r="J56" t="str">
            <v>Camberwell Hockey Club</v>
          </cell>
          <cell r="K56" t="str">
            <v>CAM</v>
          </cell>
          <cell r="M56">
            <v>9</v>
          </cell>
          <cell r="N56" t="str">
            <v>Southern C</v>
          </cell>
          <cell r="O56" t="str">
            <v>DAN</v>
          </cell>
          <cell r="AC56">
            <v>17</v>
          </cell>
          <cell r="AD56" t="str">
            <v>Wednesday</v>
          </cell>
          <cell r="AE56">
            <v>46253</v>
          </cell>
        </row>
        <row r="57">
          <cell r="A57">
            <v>8</v>
          </cell>
          <cell r="B57" t="str">
            <v>Essendon Hockey</v>
          </cell>
          <cell r="C57" t="str">
            <v>ESS</v>
          </cell>
          <cell r="E57">
            <v>6</v>
          </cell>
          <cell r="F57" t="str">
            <v>Camberwell Hockey Club</v>
          </cell>
          <cell r="G57" t="str">
            <v>CAM</v>
          </cell>
          <cell r="I57">
            <v>3</v>
          </cell>
          <cell r="J57" t="str">
            <v>KBH Brumbies Hockey Club</v>
          </cell>
          <cell r="K57" t="str">
            <v>ELG</v>
          </cell>
          <cell r="M57">
            <v>7</v>
          </cell>
          <cell r="N57" t="str">
            <v>Footscray Blue</v>
          </cell>
          <cell r="O57" t="str">
            <v>FHC</v>
          </cell>
          <cell r="AC57">
            <v>18</v>
          </cell>
          <cell r="AD57" t="str">
            <v>Wednesday</v>
          </cell>
          <cell r="AE57">
            <v>46260</v>
          </cell>
        </row>
        <row r="58">
          <cell r="A58">
            <v>3</v>
          </cell>
          <cell r="B58" t="str">
            <v>Brunswick Hockey Club 2</v>
          </cell>
          <cell r="C58" t="str">
            <v>BRU</v>
          </cell>
          <cell r="I58">
            <v>5</v>
          </cell>
          <cell r="J58" t="str">
            <v>Greensborough Hockey Club</v>
          </cell>
          <cell r="K58" t="str">
            <v>GRN</v>
          </cell>
          <cell r="M58">
            <v>1</v>
          </cell>
          <cell r="N58" t="str">
            <v>Hawthorn Hockey Club</v>
          </cell>
          <cell r="O58" t="str">
            <v>HAW</v>
          </cell>
        </row>
        <row r="59">
          <cell r="A59">
            <v>6</v>
          </cell>
          <cell r="B59" t="str">
            <v> PEGS Hockey Club</v>
          </cell>
          <cell r="C59" t="str">
            <v>PEGS</v>
          </cell>
          <cell r="E59">
            <v>3</v>
          </cell>
          <cell r="F59" t="str">
            <v>Doncaster Hockey Club</v>
          </cell>
          <cell r="G59" t="str">
            <v>DON</v>
          </cell>
          <cell r="I59">
            <v>2</v>
          </cell>
          <cell r="J59" t="str">
            <v>Melbourne University Hockey Club</v>
          </cell>
          <cell r="K59" t="str">
            <v>FHC</v>
          </cell>
          <cell r="M59">
            <v>3</v>
          </cell>
          <cell r="N59" t="str">
            <v>Yarra Hockey Club</v>
          </cell>
          <cell r="O59" t="str">
            <v>YAR</v>
          </cell>
        </row>
        <row r="60">
          <cell r="A60">
            <v>4</v>
          </cell>
          <cell r="B60" t="str">
            <v>Yarra Hockey Club</v>
          </cell>
          <cell r="C60" t="str">
            <v>YAR</v>
          </cell>
          <cell r="E60">
            <v>1</v>
          </cell>
          <cell r="F60" t="str">
            <v>Southern United Hockey Club 2</v>
          </cell>
          <cell r="G60" t="str">
            <v>MBN</v>
          </cell>
          <cell r="I60">
            <v>7</v>
          </cell>
          <cell r="J60" t="str">
            <v>Southern B</v>
          </cell>
          <cell r="K60" t="str">
            <v>DAN</v>
          </cell>
          <cell r="M60">
            <v>6</v>
          </cell>
          <cell r="N60" t="str">
            <v>Knox Hockey Club</v>
          </cell>
          <cell r="O60" t="str">
            <v>KNX</v>
          </cell>
        </row>
        <row r="61">
          <cell r="A61">
            <v>7</v>
          </cell>
          <cell r="B61" t="str">
            <v>Bye</v>
          </cell>
          <cell r="I61">
            <v>6</v>
          </cell>
          <cell r="J61" t="str">
            <v>Brunswick Hockey Club</v>
          </cell>
          <cell r="K61" t="str">
            <v>BRU</v>
          </cell>
          <cell r="M61">
            <v>12</v>
          </cell>
          <cell r="N61" t="str">
            <v>KBH Brumbies Hockey Club</v>
          </cell>
          <cell r="O61" t="str">
            <v>ELG</v>
          </cell>
        </row>
        <row r="62">
          <cell r="A62">
            <v>10</v>
          </cell>
          <cell r="B62" t="str">
            <v>KBH Stallions</v>
          </cell>
          <cell r="C62" t="str">
            <v>ELG</v>
          </cell>
          <cell r="M62">
            <v>10</v>
          </cell>
          <cell r="N62" t="str">
            <v>MCC Hockey Section</v>
          </cell>
          <cell r="O62" t="str">
            <v>ELW</v>
          </cell>
        </row>
        <row r="63">
          <cell r="A63">
            <v>5</v>
          </cell>
          <cell r="B63" t="str">
            <v>La Trobe University Hockey Club</v>
          </cell>
          <cell r="C63" t="str">
            <v>LAT</v>
          </cell>
          <cell r="M63">
            <v>2</v>
          </cell>
          <cell r="N63" t="str">
            <v>Camberwell Blue</v>
          </cell>
          <cell r="O63" t="str">
            <v>CAM</v>
          </cell>
        </row>
        <row r="64">
          <cell r="M64">
            <v>11</v>
          </cell>
          <cell r="N64" t="str">
            <v>Doncaster Hockey Club</v>
          </cell>
          <cell r="O64" t="str">
            <v>DON</v>
          </cell>
        </row>
        <row r="65">
          <cell r="M65">
            <v>5</v>
          </cell>
          <cell r="N65" t="str">
            <v>Hockey Geelong</v>
          </cell>
          <cell r="O65" t="str">
            <v>GEL</v>
          </cell>
        </row>
      </sheetData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4DD0D-784C-4040-B5EC-B80964A9F130}">
  <dimension ref="A1:J613"/>
  <sheetViews>
    <sheetView tabSelected="1" workbookViewId="0">
      <selection sqref="A1:XFD1048576"/>
    </sheetView>
  </sheetViews>
  <sheetFormatPr defaultColWidth="8.6640625" defaultRowHeight="14.4" x14ac:dyDescent="0.3"/>
  <cols>
    <col min="1" max="1" width="35.5546875" customWidth="1"/>
    <col min="2" max="2" width="11.33203125" bestFit="1" customWidth="1"/>
    <col min="3" max="3" width="11.88671875" bestFit="1" customWidth="1"/>
    <col min="4" max="4" width="15.6640625" bestFit="1" customWidth="1"/>
    <col min="5" max="5" width="33" bestFit="1" customWidth="1"/>
    <col min="6" max="6" width="7.44140625" bestFit="1" customWidth="1"/>
    <col min="7" max="7" width="15.33203125" bestFit="1" customWidth="1"/>
    <col min="8" max="8" width="37.33203125" bestFit="1" customWidth="1"/>
    <col min="9" max="9" width="14.44140625" customWidth="1"/>
    <col min="10" max="10" width="12.5546875" customWidth="1"/>
  </cols>
  <sheetData>
    <row r="1" spans="1:10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</row>
    <row r="2" spans="1:10" ht="15.6" thickTop="1" thickBot="1" x14ac:dyDescent="0.35">
      <c r="A2" s="3" t="s">
        <v>10</v>
      </c>
      <c r="B2">
        <v>1</v>
      </c>
      <c r="C2">
        <v>1</v>
      </c>
      <c r="D2">
        <v>2</v>
      </c>
      <c r="E2" t="str">
        <f>VLOOKUP(D2,[1]TEmplate!$A$38:$B$45,2,0)</f>
        <v>Melbourne University Hockey Club</v>
      </c>
      <c r="F2" t="s">
        <v>5</v>
      </c>
      <c r="G2">
        <v>5</v>
      </c>
      <c r="H2" t="str">
        <f>VLOOKUP(G2,[1]TEmplate!$A$38:$B$45,2,0)</f>
        <v>Werribee Hockey Club</v>
      </c>
      <c r="I2" t="str">
        <f>VLOOKUP(D2,[1]TEmplate!$A$38:$C$45,3,0)</f>
        <v>ESS</v>
      </c>
      <c r="J2" s="4">
        <f>VLOOKUP(B2,[1]TEmplate!$AC$38:$AE$57,3,0)</f>
        <v>46127</v>
      </c>
    </row>
    <row r="3" spans="1:10" ht="15.6" thickTop="1" thickBot="1" x14ac:dyDescent="0.35">
      <c r="A3" s="3" t="s">
        <v>10</v>
      </c>
      <c r="B3">
        <v>1</v>
      </c>
      <c r="C3">
        <v>2</v>
      </c>
      <c r="D3">
        <v>1</v>
      </c>
      <c r="E3" t="str">
        <f>VLOOKUP(D3,[1]TEmplate!$A$38:$B$45,2,0)</f>
        <v>Footscray Hockey Club</v>
      </c>
      <c r="F3" t="s">
        <v>5</v>
      </c>
      <c r="G3">
        <v>6</v>
      </c>
      <c r="H3" t="str">
        <f>VLOOKUP(G3,[1]TEmplate!$A$38:$B$45,2,0)</f>
        <v>Geelong Hockey Association</v>
      </c>
      <c r="I3" t="str">
        <f>VLOOKUP(D3,[1]TEmplate!$A$38:$C$45,3,0)</f>
        <v>FHC</v>
      </c>
      <c r="J3" s="4">
        <f>VLOOKUP(B3,[1]TEmplate!$AC$38:$AE$57,3,0)</f>
        <v>46127</v>
      </c>
    </row>
    <row r="4" spans="1:10" ht="15.6" thickTop="1" thickBot="1" x14ac:dyDescent="0.35">
      <c r="A4" s="3" t="s">
        <v>10</v>
      </c>
      <c r="B4">
        <v>1</v>
      </c>
      <c r="C4">
        <v>3</v>
      </c>
      <c r="D4">
        <v>3</v>
      </c>
      <c r="E4" t="str">
        <f>VLOOKUP(D4,[1]TEmplate!$A$38:$B$45,2,0)</f>
        <v>Bye</v>
      </c>
      <c r="F4" t="s">
        <v>5</v>
      </c>
      <c r="G4">
        <v>4</v>
      </c>
      <c r="H4" t="str">
        <f>VLOOKUP(G4,[1]TEmplate!$A$38:$B$45,2,0)</f>
        <v>Greensborough Hockey Club</v>
      </c>
      <c r="I4">
        <f>VLOOKUP(D4,[1]TEmplate!$A$38:$C$45,3,0)</f>
        <v>0</v>
      </c>
      <c r="J4" s="4">
        <f>VLOOKUP(B4,[1]TEmplate!$AC$38:$AE$57,3,0)</f>
        <v>46127</v>
      </c>
    </row>
    <row r="5" spans="1:10" ht="15.6" thickTop="1" thickBot="1" x14ac:dyDescent="0.35">
      <c r="A5" s="3" t="s">
        <v>10</v>
      </c>
      <c r="B5">
        <v>2</v>
      </c>
      <c r="C5">
        <v>1</v>
      </c>
      <c r="D5">
        <v>6</v>
      </c>
      <c r="E5" t="str">
        <f>VLOOKUP(D5,[1]TEmplate!$A$38:$B$45,2,0)</f>
        <v>Geelong Hockey Association</v>
      </c>
      <c r="F5" t="s">
        <v>5</v>
      </c>
      <c r="G5">
        <v>3</v>
      </c>
      <c r="H5" t="str">
        <f>VLOOKUP(G5,[1]TEmplate!$A$38:$B$45,2,0)</f>
        <v>Bye</v>
      </c>
      <c r="I5" t="str">
        <f>VLOOKUP(D5,[1]TEmplate!$A$38:$C$45,3,0)</f>
        <v>GEL</v>
      </c>
      <c r="J5" s="4">
        <f>VLOOKUP(B5,[1]TEmplate!$AC$38:$AE$57,3,0)</f>
        <v>46134</v>
      </c>
    </row>
    <row r="6" spans="1:10" ht="15.6" thickTop="1" thickBot="1" x14ac:dyDescent="0.35">
      <c r="A6" s="3" t="s">
        <v>10</v>
      </c>
      <c r="B6">
        <v>2</v>
      </c>
      <c r="C6">
        <v>2</v>
      </c>
      <c r="D6">
        <v>4</v>
      </c>
      <c r="E6" t="str">
        <f>VLOOKUP(D6,[1]TEmplate!$A$38:$B$45,2,0)</f>
        <v>Greensborough Hockey Club</v>
      </c>
      <c r="F6" t="s">
        <v>5</v>
      </c>
      <c r="G6">
        <v>2</v>
      </c>
      <c r="H6" t="str">
        <f>VLOOKUP(G6,[1]TEmplate!$A$38:$B$45,2,0)</f>
        <v>Melbourne University Hockey Club</v>
      </c>
      <c r="I6" t="str">
        <f>VLOOKUP(D6,[1]TEmplate!$A$38:$C$45,3,0)</f>
        <v>GRN</v>
      </c>
      <c r="J6" s="4">
        <f>VLOOKUP(B6,[1]TEmplate!$AC$38:$AE$57,3,0)</f>
        <v>46134</v>
      </c>
    </row>
    <row r="7" spans="1:10" ht="15.6" thickTop="1" thickBot="1" x14ac:dyDescent="0.35">
      <c r="A7" s="3" t="s">
        <v>10</v>
      </c>
      <c r="B7">
        <v>2</v>
      </c>
      <c r="C7">
        <v>3</v>
      </c>
      <c r="D7">
        <v>5</v>
      </c>
      <c r="E7" t="str">
        <f>VLOOKUP(D7,[1]TEmplate!$A$38:$B$45,2,0)</f>
        <v>Werribee Hockey Club</v>
      </c>
      <c r="F7" t="s">
        <v>5</v>
      </c>
      <c r="G7">
        <v>1</v>
      </c>
      <c r="H7" t="str">
        <f>VLOOKUP(G7,[1]TEmplate!$A$38:$B$45,2,0)</f>
        <v>Footscray Hockey Club</v>
      </c>
      <c r="I7" t="str">
        <f>VLOOKUP(D7,[1]TEmplate!$A$38:$C$45,3,0)</f>
        <v>WER</v>
      </c>
      <c r="J7" s="4">
        <f>VLOOKUP(B7,[1]TEmplate!$AC$38:$AE$57,3,0)</f>
        <v>46134</v>
      </c>
    </row>
    <row r="8" spans="1:10" ht="15.6" thickTop="1" thickBot="1" x14ac:dyDescent="0.35">
      <c r="A8" s="3" t="s">
        <v>10</v>
      </c>
      <c r="B8">
        <v>3</v>
      </c>
      <c r="C8">
        <v>1</v>
      </c>
      <c r="D8">
        <v>2</v>
      </c>
      <c r="E8" t="str">
        <f>VLOOKUP(D8,[1]TEmplate!$A$38:$B$45,2,0)</f>
        <v>Melbourne University Hockey Club</v>
      </c>
      <c r="F8" t="s">
        <v>5</v>
      </c>
      <c r="G8">
        <v>3</v>
      </c>
      <c r="H8" t="str">
        <f>VLOOKUP(G8,[1]TEmplate!$A$38:$B$45,2,0)</f>
        <v>Bye</v>
      </c>
      <c r="I8" t="str">
        <f>VLOOKUP(D8,[1]TEmplate!$A$38:$C$45,3,0)</f>
        <v>ESS</v>
      </c>
      <c r="J8" s="4">
        <f>VLOOKUP(B8,[1]TEmplate!$AC$38:$AE$57,3,0)</f>
        <v>46141</v>
      </c>
    </row>
    <row r="9" spans="1:10" ht="15.6" thickTop="1" thickBot="1" x14ac:dyDescent="0.35">
      <c r="A9" s="3" t="s">
        <v>10</v>
      </c>
      <c r="B9">
        <v>3</v>
      </c>
      <c r="C9">
        <v>2</v>
      </c>
      <c r="D9">
        <v>5</v>
      </c>
      <c r="E9" t="str">
        <f>VLOOKUP(D9,[1]TEmplate!$A$38:$B$45,2,0)</f>
        <v>Werribee Hockey Club</v>
      </c>
      <c r="F9" t="s">
        <v>5</v>
      </c>
      <c r="G9">
        <v>6</v>
      </c>
      <c r="H9" t="str">
        <f>VLOOKUP(G9,[1]TEmplate!$A$38:$B$45,2,0)</f>
        <v>Geelong Hockey Association</v>
      </c>
      <c r="I9" t="str">
        <f>VLOOKUP(D9,[1]TEmplate!$A$38:$C$45,3,0)</f>
        <v>WER</v>
      </c>
      <c r="J9" s="4">
        <f>VLOOKUP(B9,[1]TEmplate!$AC$38:$AE$57,3,0)</f>
        <v>46141</v>
      </c>
    </row>
    <row r="10" spans="1:10" ht="15.6" thickTop="1" thickBot="1" x14ac:dyDescent="0.35">
      <c r="A10" s="3" t="s">
        <v>10</v>
      </c>
      <c r="B10">
        <v>3</v>
      </c>
      <c r="C10">
        <v>3</v>
      </c>
      <c r="D10">
        <v>1</v>
      </c>
      <c r="E10" t="str">
        <f>VLOOKUP(D10,[1]TEmplate!$A$38:$B$45,2,0)</f>
        <v>Footscray Hockey Club</v>
      </c>
      <c r="F10" t="s">
        <v>5</v>
      </c>
      <c r="G10">
        <v>4</v>
      </c>
      <c r="H10" t="str">
        <f>VLOOKUP(G10,[1]TEmplate!$A$38:$B$45,2,0)</f>
        <v>Greensborough Hockey Club</v>
      </c>
      <c r="I10" t="str">
        <f>VLOOKUP(D10,[1]TEmplate!$A$38:$C$45,3,0)</f>
        <v>FHC</v>
      </c>
      <c r="J10" s="4">
        <f>VLOOKUP(B10,[1]TEmplate!$AC$38:$AE$57,3,0)</f>
        <v>46141</v>
      </c>
    </row>
    <row r="11" spans="1:10" ht="15.6" thickTop="1" thickBot="1" x14ac:dyDescent="0.35">
      <c r="A11" s="3" t="s">
        <v>10</v>
      </c>
      <c r="B11">
        <v>4</v>
      </c>
      <c r="C11">
        <v>1</v>
      </c>
      <c r="D11">
        <v>6</v>
      </c>
      <c r="E11" t="str">
        <f>VLOOKUP(D11,[1]TEmplate!$A$38:$B$45,2,0)</f>
        <v>Geelong Hockey Association</v>
      </c>
      <c r="F11" t="s">
        <v>5</v>
      </c>
      <c r="G11">
        <v>2</v>
      </c>
      <c r="H11" t="str">
        <f>VLOOKUP(G11,[1]TEmplate!$A$38:$B$45,2,0)</f>
        <v>Melbourne University Hockey Club</v>
      </c>
      <c r="I11" t="str">
        <f>VLOOKUP(D11,[1]TEmplate!$A$38:$C$45,3,0)</f>
        <v>GEL</v>
      </c>
      <c r="J11" s="4">
        <f>VLOOKUP(B11,[1]TEmplate!$AC$38:$AE$57,3,0)</f>
        <v>46148</v>
      </c>
    </row>
    <row r="12" spans="1:10" ht="15.6" thickTop="1" thickBot="1" x14ac:dyDescent="0.35">
      <c r="A12" s="3" t="s">
        <v>10</v>
      </c>
      <c r="B12">
        <v>4</v>
      </c>
      <c r="C12">
        <v>2</v>
      </c>
      <c r="D12">
        <v>5</v>
      </c>
      <c r="E12" t="str">
        <f>VLOOKUP(D12,[1]TEmplate!$A$38:$B$45,2,0)</f>
        <v>Werribee Hockey Club</v>
      </c>
      <c r="F12" t="s">
        <v>5</v>
      </c>
      <c r="G12">
        <v>4</v>
      </c>
      <c r="H12" t="str">
        <f>VLOOKUP(G12,[1]TEmplate!$A$38:$B$45,2,0)</f>
        <v>Greensborough Hockey Club</v>
      </c>
      <c r="I12" t="str">
        <f>VLOOKUP(D12,[1]TEmplate!$A$38:$C$45,3,0)</f>
        <v>WER</v>
      </c>
      <c r="J12" s="4">
        <f>VLOOKUP(B12,[1]TEmplate!$AC$38:$AE$57,3,0)</f>
        <v>46148</v>
      </c>
    </row>
    <row r="13" spans="1:10" ht="15.6" thickTop="1" thickBot="1" x14ac:dyDescent="0.35">
      <c r="A13" s="3" t="s">
        <v>10</v>
      </c>
      <c r="B13">
        <v>4</v>
      </c>
      <c r="C13">
        <v>3</v>
      </c>
      <c r="D13">
        <v>3</v>
      </c>
      <c r="E13" t="str">
        <f>VLOOKUP(D13,[1]TEmplate!$A$38:$B$45,2,0)</f>
        <v>Bye</v>
      </c>
      <c r="F13" t="s">
        <v>5</v>
      </c>
      <c r="G13">
        <v>1</v>
      </c>
      <c r="H13" t="str">
        <f>VLOOKUP(G13,[1]TEmplate!$A$38:$B$45,2,0)</f>
        <v>Footscray Hockey Club</v>
      </c>
      <c r="I13">
        <f>VLOOKUP(D13,[1]TEmplate!$A$38:$C$45,3,0)</f>
        <v>0</v>
      </c>
      <c r="J13" s="4">
        <f>VLOOKUP(B13,[1]TEmplate!$AC$38:$AE$57,3,0)</f>
        <v>46148</v>
      </c>
    </row>
    <row r="14" spans="1:10" ht="15.6" thickTop="1" thickBot="1" x14ac:dyDescent="0.35">
      <c r="A14" s="3" t="s">
        <v>10</v>
      </c>
      <c r="B14">
        <v>5</v>
      </c>
      <c r="C14">
        <v>1</v>
      </c>
      <c r="D14">
        <v>4</v>
      </c>
      <c r="E14" t="str">
        <f>VLOOKUP(D14,[1]TEmplate!$A$38:$B$45,2,0)</f>
        <v>Greensborough Hockey Club</v>
      </c>
      <c r="F14" t="s">
        <v>5</v>
      </c>
      <c r="G14">
        <v>6</v>
      </c>
      <c r="H14" t="str">
        <f>VLOOKUP(G14,[1]TEmplate!$A$38:$B$45,2,0)</f>
        <v>Geelong Hockey Association</v>
      </c>
      <c r="I14" t="str">
        <f>VLOOKUP(D14,[1]TEmplate!$A$38:$C$45,3,0)</f>
        <v>GRN</v>
      </c>
      <c r="J14" s="4">
        <f>VLOOKUP(B14,[1]TEmplate!$AC$38:$AE$57,3,0)</f>
        <v>46155</v>
      </c>
    </row>
    <row r="15" spans="1:10" ht="15.6" thickTop="1" thickBot="1" x14ac:dyDescent="0.35">
      <c r="A15" s="3" t="s">
        <v>10</v>
      </c>
      <c r="B15">
        <v>5</v>
      </c>
      <c r="C15">
        <v>2</v>
      </c>
      <c r="D15">
        <v>1</v>
      </c>
      <c r="E15" t="str">
        <f>VLOOKUP(D15,[1]TEmplate!$A$38:$B$45,2,0)</f>
        <v>Footscray Hockey Club</v>
      </c>
      <c r="F15" t="s">
        <v>5</v>
      </c>
      <c r="G15">
        <v>2</v>
      </c>
      <c r="H15" t="str">
        <f>VLOOKUP(G15,[1]TEmplate!$A$38:$B$45,2,0)</f>
        <v>Melbourne University Hockey Club</v>
      </c>
      <c r="I15" t="str">
        <f>VLOOKUP(D15,[1]TEmplate!$A$38:$C$45,3,0)</f>
        <v>FHC</v>
      </c>
      <c r="J15" s="4">
        <f>VLOOKUP(B15,[1]TEmplate!$AC$38:$AE$57,3,0)</f>
        <v>46155</v>
      </c>
    </row>
    <row r="16" spans="1:10" ht="15.6" thickTop="1" thickBot="1" x14ac:dyDescent="0.35">
      <c r="A16" s="3" t="s">
        <v>10</v>
      </c>
      <c r="B16">
        <v>5</v>
      </c>
      <c r="C16">
        <v>3</v>
      </c>
      <c r="D16">
        <v>3</v>
      </c>
      <c r="E16" t="str">
        <f>VLOOKUP(D16,[1]TEmplate!$A$38:$B$45,2,0)</f>
        <v>Bye</v>
      </c>
      <c r="F16" t="s">
        <v>5</v>
      </c>
      <c r="G16">
        <v>5</v>
      </c>
      <c r="H16" t="str">
        <f>VLOOKUP(G16,[1]TEmplate!$A$38:$B$45,2,0)</f>
        <v>Werribee Hockey Club</v>
      </c>
      <c r="I16">
        <f>VLOOKUP(D16,[1]TEmplate!$A$38:$C$45,3,0)</f>
        <v>0</v>
      </c>
      <c r="J16" s="4">
        <f>VLOOKUP(B16,[1]TEmplate!$AC$38:$AE$57,3,0)</f>
        <v>46155</v>
      </c>
    </row>
    <row r="17" spans="1:10" ht="15.6" thickTop="1" thickBot="1" x14ac:dyDescent="0.35">
      <c r="A17" s="3" t="s">
        <v>10</v>
      </c>
      <c r="B17">
        <v>6</v>
      </c>
      <c r="C17">
        <v>1</v>
      </c>
      <c r="D17">
        <v>5</v>
      </c>
      <c r="E17" t="str">
        <f>VLOOKUP(D17,[1]TEmplate!$A$38:$B$45,2,0)</f>
        <v>Werribee Hockey Club</v>
      </c>
      <c r="F17" t="s">
        <v>5</v>
      </c>
      <c r="G17">
        <v>2</v>
      </c>
      <c r="H17" t="str">
        <f>VLOOKUP(G17,[1]TEmplate!$A$38:$B$45,2,0)</f>
        <v>Melbourne University Hockey Club</v>
      </c>
      <c r="I17" t="str">
        <f>VLOOKUP(D17,[1]TEmplate!$A$38:$C$45,3,0)</f>
        <v>WER</v>
      </c>
      <c r="J17" s="4">
        <f>VLOOKUP(B17,[1]TEmplate!$AC$38:$AE$57,3,0)</f>
        <v>46162</v>
      </c>
    </row>
    <row r="18" spans="1:10" ht="15.6" thickTop="1" thickBot="1" x14ac:dyDescent="0.35">
      <c r="A18" s="3" t="s">
        <v>10</v>
      </c>
      <c r="B18">
        <v>6</v>
      </c>
      <c r="C18">
        <v>2</v>
      </c>
      <c r="D18">
        <v>6</v>
      </c>
      <c r="E18" t="str">
        <f>VLOOKUP(D18,[1]TEmplate!$A$38:$B$45,2,0)</f>
        <v>Geelong Hockey Association</v>
      </c>
      <c r="F18" t="s">
        <v>5</v>
      </c>
      <c r="G18">
        <v>1</v>
      </c>
      <c r="H18" t="str">
        <f>VLOOKUP(G18,[1]TEmplate!$A$38:$B$45,2,0)</f>
        <v>Footscray Hockey Club</v>
      </c>
      <c r="I18" t="str">
        <f>VLOOKUP(D18,[1]TEmplate!$A$38:$C$45,3,0)</f>
        <v>GEL</v>
      </c>
      <c r="J18" s="4">
        <f>VLOOKUP(B18,[1]TEmplate!$AC$38:$AE$57,3,0)</f>
        <v>46162</v>
      </c>
    </row>
    <row r="19" spans="1:10" ht="15.6" thickTop="1" thickBot="1" x14ac:dyDescent="0.35">
      <c r="A19" s="3" t="s">
        <v>10</v>
      </c>
      <c r="B19">
        <v>6</v>
      </c>
      <c r="C19">
        <v>3</v>
      </c>
      <c r="D19">
        <v>4</v>
      </c>
      <c r="E19" t="str">
        <f>VLOOKUP(D19,[1]TEmplate!$A$38:$B$45,2,0)</f>
        <v>Greensborough Hockey Club</v>
      </c>
      <c r="F19" t="s">
        <v>5</v>
      </c>
      <c r="G19">
        <v>3</v>
      </c>
      <c r="H19" t="str">
        <f>VLOOKUP(G19,[1]TEmplate!$A$38:$B$45,2,0)</f>
        <v>Bye</v>
      </c>
      <c r="I19" t="str">
        <f>VLOOKUP(D19,[1]TEmplate!$A$38:$C$45,3,0)</f>
        <v>GRN</v>
      </c>
      <c r="J19" s="4">
        <f>VLOOKUP(B19,[1]TEmplate!$AC$38:$AE$57,3,0)</f>
        <v>46162</v>
      </c>
    </row>
    <row r="20" spans="1:10" ht="15.6" thickTop="1" thickBot="1" x14ac:dyDescent="0.35">
      <c r="A20" s="3" t="s">
        <v>10</v>
      </c>
      <c r="B20">
        <v>7</v>
      </c>
      <c r="C20">
        <v>1</v>
      </c>
      <c r="D20">
        <v>3</v>
      </c>
      <c r="E20" t="str">
        <f>VLOOKUP(D20,[1]TEmplate!$A$38:$B$45,2,0)</f>
        <v>Bye</v>
      </c>
      <c r="F20" t="s">
        <v>5</v>
      </c>
      <c r="G20">
        <v>6</v>
      </c>
      <c r="H20" t="str">
        <f>VLOOKUP(G20,[1]TEmplate!$A$38:$B$45,2,0)</f>
        <v>Geelong Hockey Association</v>
      </c>
      <c r="I20">
        <f>VLOOKUP(D20,[1]TEmplate!$A$38:$C$45,3,0)</f>
        <v>0</v>
      </c>
      <c r="J20" s="4">
        <f>VLOOKUP(B20,[1]TEmplate!$AC$38:$AE$57,3,0)</f>
        <v>46169</v>
      </c>
    </row>
    <row r="21" spans="1:10" ht="15.6" thickTop="1" thickBot="1" x14ac:dyDescent="0.35">
      <c r="A21" s="3" t="s">
        <v>10</v>
      </c>
      <c r="B21">
        <v>7</v>
      </c>
      <c r="C21">
        <v>2</v>
      </c>
      <c r="D21">
        <v>2</v>
      </c>
      <c r="E21" t="str">
        <f>VLOOKUP(D21,[1]TEmplate!$A$38:$B$45,2,0)</f>
        <v>Melbourne University Hockey Club</v>
      </c>
      <c r="F21" t="s">
        <v>5</v>
      </c>
      <c r="G21">
        <v>4</v>
      </c>
      <c r="H21" t="str">
        <f>VLOOKUP(G21,[1]TEmplate!$A$38:$B$45,2,0)</f>
        <v>Greensborough Hockey Club</v>
      </c>
      <c r="I21" t="str">
        <f>VLOOKUP(D21,[1]TEmplate!$A$38:$C$45,3,0)</f>
        <v>ESS</v>
      </c>
      <c r="J21" s="4">
        <f>VLOOKUP(B21,[1]TEmplate!$AC$38:$AE$57,3,0)</f>
        <v>46169</v>
      </c>
    </row>
    <row r="22" spans="1:10" ht="15.6" thickTop="1" thickBot="1" x14ac:dyDescent="0.35">
      <c r="A22" s="3" t="s">
        <v>10</v>
      </c>
      <c r="B22">
        <v>7</v>
      </c>
      <c r="C22">
        <v>3</v>
      </c>
      <c r="D22">
        <v>1</v>
      </c>
      <c r="E22" t="str">
        <f>VLOOKUP(D22,[1]TEmplate!$A$38:$B$45,2,0)</f>
        <v>Footscray Hockey Club</v>
      </c>
      <c r="F22" t="s">
        <v>5</v>
      </c>
      <c r="G22">
        <v>5</v>
      </c>
      <c r="H22" t="str">
        <f>VLOOKUP(G22,[1]TEmplate!$A$38:$B$45,2,0)</f>
        <v>Werribee Hockey Club</v>
      </c>
      <c r="I22" t="str">
        <f>VLOOKUP(D22,[1]TEmplate!$A$38:$C$45,3,0)</f>
        <v>FHC</v>
      </c>
      <c r="J22" s="4">
        <f>VLOOKUP(B22,[1]TEmplate!$AC$38:$AE$57,3,0)</f>
        <v>46169</v>
      </c>
    </row>
    <row r="23" spans="1:10" ht="15.6" thickTop="1" thickBot="1" x14ac:dyDescent="0.35">
      <c r="A23" s="3" t="s">
        <v>10</v>
      </c>
      <c r="B23">
        <v>8</v>
      </c>
      <c r="C23">
        <v>1</v>
      </c>
      <c r="D23">
        <v>3</v>
      </c>
      <c r="E23" t="str">
        <f>VLOOKUP(D23,[1]TEmplate!$A$38:$B$45,2,0)</f>
        <v>Bye</v>
      </c>
      <c r="F23" t="s">
        <v>5</v>
      </c>
      <c r="G23">
        <v>2</v>
      </c>
      <c r="H23" t="str">
        <f>VLOOKUP(G23,[1]TEmplate!$A$38:$B$45,2,0)</f>
        <v>Melbourne University Hockey Club</v>
      </c>
      <c r="I23">
        <f>VLOOKUP(D23,[1]TEmplate!$A$38:$C$45,3,0)</f>
        <v>0</v>
      </c>
      <c r="J23" s="4">
        <f>VLOOKUP(B23,[1]TEmplate!$AC$38:$AE$57,3,0)</f>
        <v>46176</v>
      </c>
    </row>
    <row r="24" spans="1:10" ht="15.6" thickTop="1" thickBot="1" x14ac:dyDescent="0.35">
      <c r="A24" s="3" t="s">
        <v>10</v>
      </c>
      <c r="B24">
        <v>8</v>
      </c>
      <c r="C24">
        <v>2</v>
      </c>
      <c r="D24">
        <v>6</v>
      </c>
      <c r="E24" t="str">
        <f>VLOOKUP(D24,[1]TEmplate!$A$38:$B$45,2,0)</f>
        <v>Geelong Hockey Association</v>
      </c>
      <c r="F24" t="s">
        <v>5</v>
      </c>
      <c r="G24">
        <v>5</v>
      </c>
      <c r="H24" t="str">
        <f>VLOOKUP(G24,[1]TEmplate!$A$38:$B$45,2,0)</f>
        <v>Werribee Hockey Club</v>
      </c>
      <c r="I24" t="str">
        <f>VLOOKUP(D24,[1]TEmplate!$A$38:$C$45,3,0)</f>
        <v>GEL</v>
      </c>
      <c r="J24" s="4">
        <f>VLOOKUP(B24,[1]TEmplate!$AC$38:$AE$57,3,0)</f>
        <v>46176</v>
      </c>
    </row>
    <row r="25" spans="1:10" ht="15.6" thickTop="1" thickBot="1" x14ac:dyDescent="0.35">
      <c r="A25" s="3" t="s">
        <v>10</v>
      </c>
      <c r="B25">
        <v>8</v>
      </c>
      <c r="C25">
        <v>3</v>
      </c>
      <c r="D25">
        <v>4</v>
      </c>
      <c r="E25" t="str">
        <f>VLOOKUP(D25,[1]TEmplate!$A$38:$B$45,2,0)</f>
        <v>Greensborough Hockey Club</v>
      </c>
      <c r="F25" t="s">
        <v>5</v>
      </c>
      <c r="G25">
        <v>1</v>
      </c>
      <c r="H25" t="str">
        <f>VLOOKUP(G25,[1]TEmplate!$A$38:$B$45,2,0)</f>
        <v>Footscray Hockey Club</v>
      </c>
      <c r="I25" t="str">
        <f>VLOOKUP(D25,[1]TEmplate!$A$38:$C$45,3,0)</f>
        <v>GRN</v>
      </c>
      <c r="J25" s="4">
        <f>VLOOKUP(B25,[1]TEmplate!$AC$38:$AE$57,3,0)</f>
        <v>46176</v>
      </c>
    </row>
    <row r="26" spans="1:10" ht="15.6" thickTop="1" thickBot="1" x14ac:dyDescent="0.35">
      <c r="A26" s="3" t="s">
        <v>10</v>
      </c>
      <c r="B26">
        <v>9</v>
      </c>
      <c r="C26">
        <v>1</v>
      </c>
      <c r="D26">
        <v>2</v>
      </c>
      <c r="E26" t="str">
        <f>VLOOKUP(D26,[1]TEmplate!$A$38:$B$45,2,0)</f>
        <v>Melbourne University Hockey Club</v>
      </c>
      <c r="F26" t="s">
        <v>5</v>
      </c>
      <c r="G26">
        <v>6</v>
      </c>
      <c r="H26" t="str">
        <f>VLOOKUP(G26,[1]TEmplate!$A$38:$B$45,2,0)</f>
        <v>Geelong Hockey Association</v>
      </c>
      <c r="I26" t="str">
        <f>VLOOKUP(D26,[1]TEmplate!$A$38:$C$45,3,0)</f>
        <v>ESS</v>
      </c>
      <c r="J26" s="4">
        <f>VLOOKUP(B26,[1]TEmplate!$AC$38:$AE$57,3,0)</f>
        <v>46190</v>
      </c>
    </row>
    <row r="27" spans="1:10" ht="15.6" thickTop="1" thickBot="1" x14ac:dyDescent="0.35">
      <c r="A27" s="3" t="s">
        <v>10</v>
      </c>
      <c r="B27">
        <v>9</v>
      </c>
      <c r="C27">
        <v>2</v>
      </c>
      <c r="D27">
        <v>4</v>
      </c>
      <c r="E27" t="str">
        <f>VLOOKUP(D27,[1]TEmplate!$A$38:$B$45,2,0)</f>
        <v>Greensborough Hockey Club</v>
      </c>
      <c r="F27" t="s">
        <v>5</v>
      </c>
      <c r="G27">
        <v>5</v>
      </c>
      <c r="H27" t="str">
        <f>VLOOKUP(G27,[1]TEmplate!$A$38:$B$45,2,0)</f>
        <v>Werribee Hockey Club</v>
      </c>
      <c r="I27" t="str">
        <f>VLOOKUP(D27,[1]TEmplate!$A$38:$C$45,3,0)</f>
        <v>GRN</v>
      </c>
      <c r="J27" s="4">
        <f>VLOOKUP(B27,[1]TEmplate!$AC$38:$AE$57,3,0)</f>
        <v>46190</v>
      </c>
    </row>
    <row r="28" spans="1:10" ht="15.6" thickTop="1" thickBot="1" x14ac:dyDescent="0.35">
      <c r="A28" s="3" t="s">
        <v>10</v>
      </c>
      <c r="B28">
        <v>9</v>
      </c>
      <c r="C28">
        <v>3</v>
      </c>
      <c r="D28">
        <v>1</v>
      </c>
      <c r="E28" t="str">
        <f>VLOOKUP(D28,[1]TEmplate!$A$38:$B$45,2,0)</f>
        <v>Footscray Hockey Club</v>
      </c>
      <c r="F28" t="s">
        <v>5</v>
      </c>
      <c r="G28">
        <v>3</v>
      </c>
      <c r="H28" t="str">
        <f>VLOOKUP(G28,[1]TEmplate!$A$38:$B$45,2,0)</f>
        <v>Bye</v>
      </c>
      <c r="I28" t="str">
        <f>VLOOKUP(D28,[1]TEmplate!$A$38:$C$45,3,0)</f>
        <v>FHC</v>
      </c>
      <c r="J28" s="4">
        <f>VLOOKUP(B28,[1]TEmplate!$AC$38:$AE$57,3,0)</f>
        <v>46190</v>
      </c>
    </row>
    <row r="29" spans="1:10" ht="15.6" thickTop="1" thickBot="1" x14ac:dyDescent="0.35">
      <c r="A29" s="3" t="s">
        <v>10</v>
      </c>
      <c r="B29">
        <v>10</v>
      </c>
      <c r="C29">
        <v>1</v>
      </c>
      <c r="D29">
        <v>6</v>
      </c>
      <c r="E29" t="str">
        <f>VLOOKUP(D29,[1]TEmplate!$A$38:$B$45,2,0)</f>
        <v>Geelong Hockey Association</v>
      </c>
      <c r="F29" t="s">
        <v>5</v>
      </c>
      <c r="G29">
        <v>4</v>
      </c>
      <c r="H29" t="str">
        <f>VLOOKUP(G29,[1]TEmplate!$A$38:$B$45,2,0)</f>
        <v>Greensborough Hockey Club</v>
      </c>
      <c r="I29" t="str">
        <f>VLOOKUP(D29,[1]TEmplate!$A$38:$C$45,3,0)</f>
        <v>GEL</v>
      </c>
      <c r="J29" s="4">
        <f>VLOOKUP(B29,[1]TEmplate!$AC$38:$AE$57,3,0)</f>
        <v>46197</v>
      </c>
    </row>
    <row r="30" spans="1:10" ht="15.6" thickTop="1" thickBot="1" x14ac:dyDescent="0.35">
      <c r="A30" s="3" t="s">
        <v>10</v>
      </c>
      <c r="B30">
        <v>10</v>
      </c>
      <c r="C30">
        <v>2</v>
      </c>
      <c r="D30">
        <v>2</v>
      </c>
      <c r="E30" t="str">
        <f>VLOOKUP(D30,[1]TEmplate!$A$38:$B$45,2,0)</f>
        <v>Melbourne University Hockey Club</v>
      </c>
      <c r="F30" t="s">
        <v>5</v>
      </c>
      <c r="G30">
        <v>1</v>
      </c>
      <c r="H30" t="str">
        <f>VLOOKUP(G30,[1]TEmplate!$A$38:$B$45,2,0)</f>
        <v>Footscray Hockey Club</v>
      </c>
      <c r="I30" t="str">
        <f>VLOOKUP(D30,[1]TEmplate!$A$38:$C$45,3,0)</f>
        <v>ESS</v>
      </c>
      <c r="J30" s="4">
        <f>VLOOKUP(B30,[1]TEmplate!$AC$38:$AE$57,3,0)</f>
        <v>46197</v>
      </c>
    </row>
    <row r="31" spans="1:10" ht="15.6" thickTop="1" thickBot="1" x14ac:dyDescent="0.35">
      <c r="A31" s="3" t="s">
        <v>10</v>
      </c>
      <c r="B31">
        <v>10</v>
      </c>
      <c r="C31">
        <v>3</v>
      </c>
      <c r="D31">
        <v>5</v>
      </c>
      <c r="E31" t="str">
        <f>VLOOKUP(D31,[1]TEmplate!$A$38:$B$45,2,0)</f>
        <v>Werribee Hockey Club</v>
      </c>
      <c r="F31" t="s">
        <v>5</v>
      </c>
      <c r="G31">
        <v>3</v>
      </c>
      <c r="H31" t="str">
        <f>VLOOKUP(G31,[1]TEmplate!$A$38:$B$45,2,0)</f>
        <v>Bye</v>
      </c>
      <c r="I31" t="str">
        <f>VLOOKUP(D31,[1]TEmplate!$A$38:$C$45,3,0)</f>
        <v>WER</v>
      </c>
      <c r="J31" s="4">
        <f>VLOOKUP(B31,[1]TEmplate!$AC$38:$AE$57,3,0)</f>
        <v>46197</v>
      </c>
    </row>
    <row r="32" spans="1:10" ht="15.6" thickTop="1" thickBot="1" x14ac:dyDescent="0.35">
      <c r="A32" s="3" t="s">
        <v>10</v>
      </c>
      <c r="B32">
        <v>11</v>
      </c>
      <c r="C32">
        <v>1</v>
      </c>
      <c r="D32">
        <v>2</v>
      </c>
      <c r="E32" t="str">
        <f>VLOOKUP(D32,[1]TEmplate!$A$38:$B$45,2,0)</f>
        <v>Melbourne University Hockey Club</v>
      </c>
      <c r="F32" t="s">
        <v>5</v>
      </c>
      <c r="G32">
        <v>5</v>
      </c>
      <c r="H32" t="str">
        <f>VLOOKUP(G32,[1]TEmplate!$A$38:$B$45,2,0)</f>
        <v>Werribee Hockey Club</v>
      </c>
      <c r="I32" t="str">
        <f>VLOOKUP(D32,[1]TEmplate!$A$38:$C$45,3,0)</f>
        <v>ESS</v>
      </c>
      <c r="J32" s="4">
        <f>VLOOKUP(B32,[1]TEmplate!$AC$38:$AE$57,3,0)</f>
        <v>46204</v>
      </c>
    </row>
    <row r="33" spans="1:10" ht="15.6" thickTop="1" thickBot="1" x14ac:dyDescent="0.35">
      <c r="A33" s="3" t="s">
        <v>10</v>
      </c>
      <c r="B33">
        <v>11</v>
      </c>
      <c r="C33">
        <v>2</v>
      </c>
      <c r="D33">
        <v>1</v>
      </c>
      <c r="E33" t="str">
        <f>VLOOKUP(D33,[1]TEmplate!$A$38:$B$45,2,0)</f>
        <v>Footscray Hockey Club</v>
      </c>
      <c r="F33" t="s">
        <v>5</v>
      </c>
      <c r="G33">
        <v>6</v>
      </c>
      <c r="H33" t="str">
        <f>VLOOKUP(G33,[1]TEmplate!$A$38:$B$45,2,0)</f>
        <v>Geelong Hockey Association</v>
      </c>
      <c r="I33" t="str">
        <f>VLOOKUP(D33,[1]TEmplate!$A$38:$C$45,3,0)</f>
        <v>FHC</v>
      </c>
      <c r="J33" s="4">
        <f>VLOOKUP(B33,[1]TEmplate!$AC$38:$AE$57,3,0)</f>
        <v>46204</v>
      </c>
    </row>
    <row r="34" spans="1:10" ht="15.6" thickTop="1" thickBot="1" x14ac:dyDescent="0.35">
      <c r="A34" s="3" t="s">
        <v>10</v>
      </c>
      <c r="B34">
        <v>11</v>
      </c>
      <c r="C34">
        <v>3</v>
      </c>
      <c r="D34">
        <v>3</v>
      </c>
      <c r="E34" t="str">
        <f>VLOOKUP(D34,[1]TEmplate!$A$38:$B$45,2,0)</f>
        <v>Bye</v>
      </c>
      <c r="F34" t="s">
        <v>5</v>
      </c>
      <c r="G34">
        <v>4</v>
      </c>
      <c r="H34" t="str">
        <f>VLOOKUP(G34,[1]TEmplate!$A$38:$B$45,2,0)</f>
        <v>Greensborough Hockey Club</v>
      </c>
      <c r="I34">
        <f>VLOOKUP(D34,[1]TEmplate!$A$38:$C$45,3,0)</f>
        <v>0</v>
      </c>
      <c r="J34" s="4">
        <f>VLOOKUP(B34,[1]TEmplate!$AC$38:$AE$57,3,0)</f>
        <v>46204</v>
      </c>
    </row>
    <row r="35" spans="1:10" ht="15.6" thickTop="1" thickBot="1" x14ac:dyDescent="0.35">
      <c r="A35" s="3" t="s">
        <v>10</v>
      </c>
      <c r="B35">
        <v>12</v>
      </c>
      <c r="C35">
        <v>1</v>
      </c>
      <c r="D35">
        <v>6</v>
      </c>
      <c r="E35" t="str">
        <f>VLOOKUP(D35,[1]TEmplate!$A$38:$B$45,2,0)</f>
        <v>Geelong Hockey Association</v>
      </c>
      <c r="F35" t="s">
        <v>5</v>
      </c>
      <c r="G35">
        <v>3</v>
      </c>
      <c r="H35" t="str">
        <f>VLOOKUP(G35,[1]TEmplate!$A$38:$B$45,2,0)</f>
        <v>Bye</v>
      </c>
      <c r="I35" t="str">
        <f>VLOOKUP(D35,[1]TEmplate!$A$38:$C$45,3,0)</f>
        <v>GEL</v>
      </c>
      <c r="J35" s="4">
        <f>VLOOKUP(B35,[1]TEmplate!$AC$38:$AE$57,3,0)</f>
        <v>46218</v>
      </c>
    </row>
    <row r="36" spans="1:10" ht="15.6" thickTop="1" thickBot="1" x14ac:dyDescent="0.35">
      <c r="A36" s="3" t="s">
        <v>10</v>
      </c>
      <c r="B36">
        <v>12</v>
      </c>
      <c r="C36">
        <v>2</v>
      </c>
      <c r="D36">
        <v>4</v>
      </c>
      <c r="E36" t="str">
        <f>VLOOKUP(D36,[1]TEmplate!$A$38:$B$45,2,0)</f>
        <v>Greensborough Hockey Club</v>
      </c>
      <c r="F36" t="s">
        <v>5</v>
      </c>
      <c r="G36">
        <v>2</v>
      </c>
      <c r="H36" t="str">
        <f>VLOOKUP(G36,[1]TEmplate!$A$38:$B$45,2,0)</f>
        <v>Melbourne University Hockey Club</v>
      </c>
      <c r="I36" t="str">
        <f>VLOOKUP(D36,[1]TEmplate!$A$38:$C$45,3,0)</f>
        <v>GRN</v>
      </c>
      <c r="J36" s="4">
        <f>VLOOKUP(B36,[1]TEmplate!$AC$38:$AE$57,3,0)</f>
        <v>46218</v>
      </c>
    </row>
    <row r="37" spans="1:10" ht="15.6" thickTop="1" thickBot="1" x14ac:dyDescent="0.35">
      <c r="A37" s="3" t="s">
        <v>10</v>
      </c>
      <c r="B37">
        <v>12</v>
      </c>
      <c r="C37">
        <v>3</v>
      </c>
      <c r="D37">
        <v>5</v>
      </c>
      <c r="E37" t="str">
        <f>VLOOKUP(D37,[1]TEmplate!$A$38:$B$45,2,0)</f>
        <v>Werribee Hockey Club</v>
      </c>
      <c r="F37" t="s">
        <v>5</v>
      </c>
      <c r="G37">
        <v>1</v>
      </c>
      <c r="H37" t="str">
        <f>VLOOKUP(G37,[1]TEmplate!$A$38:$B$45,2,0)</f>
        <v>Footscray Hockey Club</v>
      </c>
      <c r="I37" t="str">
        <f>VLOOKUP(D37,[1]TEmplate!$A$38:$C$45,3,0)</f>
        <v>WER</v>
      </c>
      <c r="J37" s="4">
        <f>VLOOKUP(B37,[1]TEmplate!$AC$38:$AE$57,3,0)</f>
        <v>46218</v>
      </c>
    </row>
    <row r="38" spans="1:10" ht="15.6" thickTop="1" thickBot="1" x14ac:dyDescent="0.35">
      <c r="A38" s="3" t="s">
        <v>10</v>
      </c>
      <c r="B38">
        <v>13</v>
      </c>
      <c r="C38">
        <v>1</v>
      </c>
      <c r="D38">
        <v>2</v>
      </c>
      <c r="E38" t="str">
        <f>VLOOKUP(D38,[1]TEmplate!$A$38:$B$45,2,0)</f>
        <v>Melbourne University Hockey Club</v>
      </c>
      <c r="F38" t="s">
        <v>5</v>
      </c>
      <c r="G38">
        <v>3</v>
      </c>
      <c r="H38" t="str">
        <f>VLOOKUP(G38,[1]TEmplate!$A$38:$B$45,2,0)</f>
        <v>Bye</v>
      </c>
      <c r="I38" t="str">
        <f>VLOOKUP(D38,[1]TEmplate!$A$38:$C$45,3,0)</f>
        <v>ESS</v>
      </c>
      <c r="J38" s="4">
        <f>VLOOKUP(B38,[1]TEmplate!$AC$38:$AE$57,3,0)</f>
        <v>46225</v>
      </c>
    </row>
    <row r="39" spans="1:10" ht="15.6" thickTop="1" thickBot="1" x14ac:dyDescent="0.35">
      <c r="A39" s="3" t="s">
        <v>10</v>
      </c>
      <c r="B39">
        <v>13</v>
      </c>
      <c r="C39">
        <v>2</v>
      </c>
      <c r="D39">
        <v>5</v>
      </c>
      <c r="E39" t="str">
        <f>VLOOKUP(D39,[1]TEmplate!$A$38:$B$45,2,0)</f>
        <v>Werribee Hockey Club</v>
      </c>
      <c r="F39" t="s">
        <v>5</v>
      </c>
      <c r="G39">
        <v>6</v>
      </c>
      <c r="H39" t="str">
        <f>VLOOKUP(G39,[1]TEmplate!$A$38:$B$45,2,0)</f>
        <v>Geelong Hockey Association</v>
      </c>
      <c r="I39" t="str">
        <f>VLOOKUP(D39,[1]TEmplate!$A$38:$C$45,3,0)</f>
        <v>WER</v>
      </c>
      <c r="J39" s="4">
        <f>VLOOKUP(B39,[1]TEmplate!$AC$38:$AE$57,3,0)</f>
        <v>46225</v>
      </c>
    </row>
    <row r="40" spans="1:10" ht="15.6" thickTop="1" thickBot="1" x14ac:dyDescent="0.35">
      <c r="A40" s="3" t="s">
        <v>10</v>
      </c>
      <c r="B40">
        <v>13</v>
      </c>
      <c r="C40">
        <v>3</v>
      </c>
      <c r="D40">
        <v>1</v>
      </c>
      <c r="E40" t="str">
        <f>VLOOKUP(D40,[1]TEmplate!$A$38:$B$45,2,0)</f>
        <v>Footscray Hockey Club</v>
      </c>
      <c r="F40" t="s">
        <v>5</v>
      </c>
      <c r="G40">
        <v>4</v>
      </c>
      <c r="H40" t="str">
        <f>VLOOKUP(G40,[1]TEmplate!$A$38:$B$45,2,0)</f>
        <v>Greensborough Hockey Club</v>
      </c>
      <c r="I40" t="str">
        <f>VLOOKUP(D40,[1]TEmplate!$A$38:$C$45,3,0)</f>
        <v>FHC</v>
      </c>
      <c r="J40" s="4">
        <f>VLOOKUP(B40,[1]TEmplate!$AC$38:$AE$57,3,0)</f>
        <v>46225</v>
      </c>
    </row>
    <row r="41" spans="1:10" ht="15.6" thickTop="1" thickBot="1" x14ac:dyDescent="0.35">
      <c r="A41" s="3" t="s">
        <v>10</v>
      </c>
      <c r="B41">
        <v>14</v>
      </c>
      <c r="C41">
        <v>1</v>
      </c>
      <c r="D41">
        <v>6</v>
      </c>
      <c r="E41" t="str">
        <f>VLOOKUP(D41,[1]TEmplate!$A$38:$B$45,2,0)</f>
        <v>Geelong Hockey Association</v>
      </c>
      <c r="F41" t="s">
        <v>5</v>
      </c>
      <c r="G41">
        <v>2</v>
      </c>
      <c r="H41" t="str">
        <f>VLOOKUP(G41,[1]TEmplate!$A$38:$B$45,2,0)</f>
        <v>Melbourne University Hockey Club</v>
      </c>
      <c r="I41" t="str">
        <f>VLOOKUP(D41,[1]TEmplate!$A$38:$C$45,3,0)</f>
        <v>GEL</v>
      </c>
      <c r="J41" s="4">
        <f>VLOOKUP(B41,[1]TEmplate!$AC$38:$AE$57,3,0)</f>
        <v>46232</v>
      </c>
    </row>
    <row r="42" spans="1:10" ht="15.6" thickTop="1" thickBot="1" x14ac:dyDescent="0.35">
      <c r="A42" s="3" t="s">
        <v>10</v>
      </c>
      <c r="B42">
        <v>14</v>
      </c>
      <c r="C42">
        <v>2</v>
      </c>
      <c r="D42">
        <v>5</v>
      </c>
      <c r="E42" t="str">
        <f>VLOOKUP(D42,[1]TEmplate!$A$38:$B$45,2,0)</f>
        <v>Werribee Hockey Club</v>
      </c>
      <c r="F42" t="s">
        <v>5</v>
      </c>
      <c r="G42">
        <v>4</v>
      </c>
      <c r="H42" t="str">
        <f>VLOOKUP(G42,[1]TEmplate!$A$38:$B$45,2,0)</f>
        <v>Greensborough Hockey Club</v>
      </c>
      <c r="I42" t="str">
        <f>VLOOKUP(D42,[1]TEmplate!$A$38:$C$45,3,0)</f>
        <v>WER</v>
      </c>
      <c r="J42" s="4">
        <f>VLOOKUP(B42,[1]TEmplate!$AC$38:$AE$57,3,0)</f>
        <v>46232</v>
      </c>
    </row>
    <row r="43" spans="1:10" ht="15.6" thickTop="1" thickBot="1" x14ac:dyDescent="0.35">
      <c r="A43" s="3" t="s">
        <v>10</v>
      </c>
      <c r="B43">
        <v>14</v>
      </c>
      <c r="C43">
        <v>3</v>
      </c>
      <c r="D43">
        <v>3</v>
      </c>
      <c r="E43" t="str">
        <f>VLOOKUP(D43,[1]TEmplate!$A$38:$B$45,2,0)</f>
        <v>Bye</v>
      </c>
      <c r="F43" t="s">
        <v>5</v>
      </c>
      <c r="G43">
        <v>1</v>
      </c>
      <c r="H43" t="str">
        <f>VLOOKUP(G43,[1]TEmplate!$A$38:$B$45,2,0)</f>
        <v>Footscray Hockey Club</v>
      </c>
      <c r="I43">
        <f>VLOOKUP(D43,[1]TEmplate!$A$38:$C$45,3,0)</f>
        <v>0</v>
      </c>
      <c r="J43" s="4">
        <f>VLOOKUP(B43,[1]TEmplate!$AC$38:$AE$57,3,0)</f>
        <v>46232</v>
      </c>
    </row>
    <row r="44" spans="1:10" ht="15.6" thickTop="1" thickBot="1" x14ac:dyDescent="0.35">
      <c r="A44" s="3" t="s">
        <v>10</v>
      </c>
      <c r="B44">
        <v>15</v>
      </c>
      <c r="C44">
        <v>1</v>
      </c>
      <c r="D44">
        <v>4</v>
      </c>
      <c r="E44" t="str">
        <f>VLOOKUP(D44,[1]TEmplate!$A$38:$B$45,2,0)</f>
        <v>Greensborough Hockey Club</v>
      </c>
      <c r="F44" t="s">
        <v>5</v>
      </c>
      <c r="G44">
        <v>6</v>
      </c>
      <c r="H44" t="str">
        <f>VLOOKUP(G44,[1]TEmplate!$A$38:$B$45,2,0)</f>
        <v>Geelong Hockey Association</v>
      </c>
      <c r="I44" t="str">
        <f>VLOOKUP(D44,[1]TEmplate!$A$38:$C$45,3,0)</f>
        <v>GRN</v>
      </c>
      <c r="J44" s="4">
        <f>VLOOKUP(B44,[1]TEmplate!$AC$38:$AE$57,3,0)</f>
        <v>46239</v>
      </c>
    </row>
    <row r="45" spans="1:10" ht="15.6" thickTop="1" thickBot="1" x14ac:dyDescent="0.35">
      <c r="A45" s="3" t="s">
        <v>10</v>
      </c>
      <c r="B45">
        <v>15</v>
      </c>
      <c r="C45">
        <v>2</v>
      </c>
      <c r="D45">
        <v>1</v>
      </c>
      <c r="E45" t="str">
        <f>VLOOKUP(D45,[1]TEmplate!$A$38:$B$45,2,0)</f>
        <v>Footscray Hockey Club</v>
      </c>
      <c r="F45" t="s">
        <v>5</v>
      </c>
      <c r="G45">
        <v>2</v>
      </c>
      <c r="H45" t="str">
        <f>VLOOKUP(G45,[1]TEmplate!$A$38:$B$45,2,0)</f>
        <v>Melbourne University Hockey Club</v>
      </c>
      <c r="I45" t="str">
        <f>VLOOKUP(D45,[1]TEmplate!$A$38:$C$45,3,0)</f>
        <v>FHC</v>
      </c>
      <c r="J45" s="4">
        <f>VLOOKUP(B45,[1]TEmplate!$AC$38:$AE$57,3,0)</f>
        <v>46239</v>
      </c>
    </row>
    <row r="46" spans="1:10" ht="15.6" thickTop="1" thickBot="1" x14ac:dyDescent="0.35">
      <c r="A46" s="3" t="s">
        <v>10</v>
      </c>
      <c r="B46">
        <v>15</v>
      </c>
      <c r="C46">
        <v>3</v>
      </c>
      <c r="D46">
        <v>3</v>
      </c>
      <c r="E46" t="str">
        <f>VLOOKUP(D46,[1]TEmplate!$A$38:$B$45,2,0)</f>
        <v>Bye</v>
      </c>
      <c r="F46" t="s">
        <v>5</v>
      </c>
      <c r="G46">
        <v>5</v>
      </c>
      <c r="H46" t="str">
        <f>VLOOKUP(G46,[1]TEmplate!$A$38:$B$45,2,0)</f>
        <v>Werribee Hockey Club</v>
      </c>
      <c r="I46">
        <f>VLOOKUP(D46,[1]TEmplate!$A$38:$C$45,3,0)</f>
        <v>0</v>
      </c>
      <c r="J46" s="4">
        <f>VLOOKUP(B46,[1]TEmplate!$AC$38:$AE$57,3,0)</f>
        <v>46239</v>
      </c>
    </row>
    <row r="47" spans="1:10" ht="15.6" thickTop="1" thickBot="1" x14ac:dyDescent="0.35">
      <c r="A47" s="3" t="s">
        <v>10</v>
      </c>
      <c r="B47">
        <v>16</v>
      </c>
      <c r="C47">
        <v>1</v>
      </c>
      <c r="D47">
        <v>5</v>
      </c>
      <c r="E47" t="str">
        <f>VLOOKUP(D47,[1]TEmplate!$A$38:$B$45,2,0)</f>
        <v>Werribee Hockey Club</v>
      </c>
      <c r="F47" t="s">
        <v>5</v>
      </c>
      <c r="G47">
        <v>2</v>
      </c>
      <c r="H47" t="str">
        <f>VLOOKUP(G47,[1]TEmplate!$A$38:$B$45,2,0)</f>
        <v>Melbourne University Hockey Club</v>
      </c>
      <c r="I47" t="str">
        <f>VLOOKUP(D47,[1]TEmplate!$A$38:$C$45,3,0)</f>
        <v>WER</v>
      </c>
      <c r="J47" s="4">
        <f>VLOOKUP(B47,[1]TEmplate!$AC$38:$AE$57,3,0)</f>
        <v>46246</v>
      </c>
    </row>
    <row r="48" spans="1:10" ht="15.6" thickTop="1" thickBot="1" x14ac:dyDescent="0.35">
      <c r="A48" s="3" t="s">
        <v>10</v>
      </c>
      <c r="B48">
        <v>16</v>
      </c>
      <c r="C48">
        <v>2</v>
      </c>
      <c r="D48">
        <v>6</v>
      </c>
      <c r="E48" t="str">
        <f>VLOOKUP(D48,[1]TEmplate!$A$38:$B$45,2,0)</f>
        <v>Geelong Hockey Association</v>
      </c>
      <c r="F48" t="s">
        <v>5</v>
      </c>
      <c r="G48">
        <v>1</v>
      </c>
      <c r="H48" t="str">
        <f>VLOOKUP(G48,[1]TEmplate!$A$38:$B$45,2,0)</f>
        <v>Footscray Hockey Club</v>
      </c>
      <c r="I48" t="str">
        <f>VLOOKUP(D48,[1]TEmplate!$A$38:$C$45,3,0)</f>
        <v>GEL</v>
      </c>
      <c r="J48" s="4">
        <f>VLOOKUP(B48,[1]TEmplate!$AC$38:$AE$57,3,0)</f>
        <v>46246</v>
      </c>
    </row>
    <row r="49" spans="1:10" ht="15.6" thickTop="1" thickBot="1" x14ac:dyDescent="0.35">
      <c r="A49" s="3" t="s">
        <v>10</v>
      </c>
      <c r="B49">
        <v>16</v>
      </c>
      <c r="C49">
        <v>3</v>
      </c>
      <c r="D49">
        <v>4</v>
      </c>
      <c r="E49" t="str">
        <f>VLOOKUP(D49,[1]TEmplate!$A$38:$B$45,2,0)</f>
        <v>Greensborough Hockey Club</v>
      </c>
      <c r="F49" t="s">
        <v>5</v>
      </c>
      <c r="G49">
        <v>3</v>
      </c>
      <c r="H49" t="str">
        <f>VLOOKUP(G49,[1]TEmplate!$A$38:$B$45,2,0)</f>
        <v>Bye</v>
      </c>
      <c r="I49" t="str">
        <f>VLOOKUP(D49,[1]TEmplate!$A$38:$C$45,3,0)</f>
        <v>GRN</v>
      </c>
      <c r="J49" s="4">
        <f>VLOOKUP(B49,[1]TEmplate!$AC$38:$AE$57,3,0)</f>
        <v>46246</v>
      </c>
    </row>
    <row r="50" spans="1:10" ht="15.6" thickTop="1" thickBot="1" x14ac:dyDescent="0.35">
      <c r="A50" s="3" t="s">
        <v>10</v>
      </c>
      <c r="B50">
        <v>17</v>
      </c>
      <c r="C50">
        <v>1</v>
      </c>
      <c r="D50">
        <v>3</v>
      </c>
      <c r="E50" t="str">
        <f>VLOOKUP(D50,[1]TEmplate!$A$38:$B$45,2,0)</f>
        <v>Bye</v>
      </c>
      <c r="F50" t="s">
        <v>5</v>
      </c>
      <c r="G50">
        <v>6</v>
      </c>
      <c r="H50" t="str">
        <f>VLOOKUP(G50,[1]TEmplate!$A$38:$B$45,2,0)</f>
        <v>Geelong Hockey Association</v>
      </c>
      <c r="I50">
        <f>VLOOKUP(D50,[1]TEmplate!$A$38:$C$45,3,0)</f>
        <v>0</v>
      </c>
      <c r="J50" s="4">
        <f>VLOOKUP(B50,[1]TEmplate!$AC$38:$AE$57,3,0)</f>
        <v>46253</v>
      </c>
    </row>
    <row r="51" spans="1:10" ht="15.6" thickTop="1" thickBot="1" x14ac:dyDescent="0.35">
      <c r="A51" s="3" t="s">
        <v>10</v>
      </c>
      <c r="B51">
        <v>17</v>
      </c>
      <c r="C51">
        <v>2</v>
      </c>
      <c r="D51">
        <v>2</v>
      </c>
      <c r="E51" t="str">
        <f>VLOOKUP(D51,[1]TEmplate!$A$38:$B$45,2,0)</f>
        <v>Melbourne University Hockey Club</v>
      </c>
      <c r="F51" t="s">
        <v>5</v>
      </c>
      <c r="G51">
        <v>4</v>
      </c>
      <c r="H51" t="str">
        <f>VLOOKUP(G51,[1]TEmplate!$A$38:$B$45,2,0)</f>
        <v>Greensborough Hockey Club</v>
      </c>
      <c r="I51" t="str">
        <f>VLOOKUP(D51,[1]TEmplate!$A$38:$C$45,3,0)</f>
        <v>ESS</v>
      </c>
      <c r="J51" s="4">
        <f>VLOOKUP(B51,[1]TEmplate!$AC$38:$AE$57,3,0)</f>
        <v>46253</v>
      </c>
    </row>
    <row r="52" spans="1:10" ht="15.6" thickTop="1" thickBot="1" x14ac:dyDescent="0.35">
      <c r="A52" s="3" t="s">
        <v>10</v>
      </c>
      <c r="B52">
        <v>17</v>
      </c>
      <c r="C52">
        <v>3</v>
      </c>
      <c r="D52">
        <v>1</v>
      </c>
      <c r="E52" t="str">
        <f>VLOOKUP(D52,[1]TEmplate!$A$38:$B$45,2,0)</f>
        <v>Footscray Hockey Club</v>
      </c>
      <c r="F52" t="s">
        <v>5</v>
      </c>
      <c r="G52">
        <v>5</v>
      </c>
      <c r="H52" t="str">
        <f>VLOOKUP(G52,[1]TEmplate!$A$38:$B$45,2,0)</f>
        <v>Werribee Hockey Club</v>
      </c>
      <c r="I52" t="str">
        <f>VLOOKUP(D52,[1]TEmplate!$A$38:$C$45,3,0)</f>
        <v>FHC</v>
      </c>
      <c r="J52" s="4">
        <f>VLOOKUP(B52,[1]TEmplate!$AC$38:$AE$57,3,0)</f>
        <v>46253</v>
      </c>
    </row>
    <row r="53" spans="1:10" ht="15.6" thickTop="1" thickBot="1" x14ac:dyDescent="0.35">
      <c r="A53" s="3" t="s">
        <v>10</v>
      </c>
      <c r="B53">
        <v>18</v>
      </c>
      <c r="C53">
        <v>1</v>
      </c>
      <c r="D53">
        <v>3</v>
      </c>
      <c r="E53" t="str">
        <f>VLOOKUP(D53,[1]TEmplate!$A$38:$B$45,2,0)</f>
        <v>Bye</v>
      </c>
      <c r="F53" t="s">
        <v>5</v>
      </c>
      <c r="G53">
        <v>2</v>
      </c>
      <c r="H53" t="str">
        <f>VLOOKUP(G53,[1]TEmplate!$A$38:$B$45,2,0)</f>
        <v>Melbourne University Hockey Club</v>
      </c>
      <c r="I53">
        <f>VLOOKUP(D53,[1]TEmplate!$A$38:$C$45,3,0)</f>
        <v>0</v>
      </c>
      <c r="J53" s="4">
        <f>VLOOKUP(B53,[1]TEmplate!$AC$38:$AE$57,3,0)</f>
        <v>46260</v>
      </c>
    </row>
    <row r="54" spans="1:10" ht="15.6" thickTop="1" thickBot="1" x14ac:dyDescent="0.35">
      <c r="A54" s="3" t="s">
        <v>10</v>
      </c>
      <c r="B54">
        <v>18</v>
      </c>
      <c r="C54">
        <v>2</v>
      </c>
      <c r="D54">
        <v>6</v>
      </c>
      <c r="E54" t="str">
        <f>VLOOKUP(D54,[1]TEmplate!$A$38:$B$45,2,0)</f>
        <v>Geelong Hockey Association</v>
      </c>
      <c r="F54" t="s">
        <v>5</v>
      </c>
      <c r="G54">
        <v>5</v>
      </c>
      <c r="H54" t="str">
        <f>VLOOKUP(G54,[1]TEmplate!$A$38:$B$45,2,0)</f>
        <v>Werribee Hockey Club</v>
      </c>
      <c r="I54" t="str">
        <f>VLOOKUP(D54,[1]TEmplate!$A$38:$C$45,3,0)</f>
        <v>GEL</v>
      </c>
      <c r="J54" s="4">
        <f>VLOOKUP(B54,[1]TEmplate!$AC$38:$AE$57,3,0)</f>
        <v>46260</v>
      </c>
    </row>
    <row r="55" spans="1:10" ht="15.6" thickTop="1" thickBot="1" x14ac:dyDescent="0.35">
      <c r="A55" s="3" t="s">
        <v>10</v>
      </c>
      <c r="B55">
        <v>18</v>
      </c>
      <c r="C55">
        <v>3</v>
      </c>
      <c r="D55">
        <v>4</v>
      </c>
      <c r="E55" t="str">
        <f>VLOOKUP(D55,[1]TEmplate!$A$38:$B$45,2,0)</f>
        <v>Greensborough Hockey Club</v>
      </c>
      <c r="F55" t="s">
        <v>5</v>
      </c>
      <c r="G55">
        <v>1</v>
      </c>
      <c r="H55" t="str">
        <f>VLOOKUP(G55,[1]TEmplate!$A$38:$B$45,2,0)</f>
        <v>Footscray Hockey Club</v>
      </c>
      <c r="I55" t="str">
        <f>VLOOKUP(D55,[1]TEmplate!$A$38:$C$45,3,0)</f>
        <v>GRN</v>
      </c>
      <c r="J55" s="4">
        <f>VLOOKUP(B55,[1]TEmplate!$AC$38:$AE$57,3,0)</f>
        <v>46260</v>
      </c>
    </row>
    <row r="56" spans="1:10" x14ac:dyDescent="0.3">
      <c r="A56" t="s">
        <v>11</v>
      </c>
      <c r="B56">
        <v>1</v>
      </c>
      <c r="C56">
        <v>1</v>
      </c>
      <c r="D56">
        <v>2</v>
      </c>
      <c r="E56" t="str">
        <f>VLOOKUP(D56,[1]TEmplate!$E$38:$F$43,2,0)</f>
        <v>KBH Brumbies Hockey Club</v>
      </c>
      <c r="F56" t="s">
        <v>5</v>
      </c>
      <c r="G56">
        <v>5</v>
      </c>
      <c r="H56" t="str">
        <f>VLOOKUP(G56,[1]TEmplate!$E$38:$F$43,2,0)</f>
        <v>MCC Hockey Section</v>
      </c>
      <c r="I56" t="str">
        <f>VLOOKUP(D56,[1]TEmplate!$E$38:$G$43,3,0)</f>
        <v>ELG</v>
      </c>
      <c r="J56" s="4">
        <f>VLOOKUP(B56,[1]TEmplate!$AC$38:$AE$57,3,0)</f>
        <v>46127</v>
      </c>
    </row>
    <row r="57" spans="1:10" x14ac:dyDescent="0.3">
      <c r="A57" t="s">
        <v>11</v>
      </c>
      <c r="B57">
        <v>1</v>
      </c>
      <c r="C57">
        <v>2</v>
      </c>
      <c r="D57">
        <v>1</v>
      </c>
      <c r="E57" t="str">
        <f>VLOOKUP(D57,[1]TEmplate!$E$38:$F$43,2,0)</f>
        <v>Hawthorn Red</v>
      </c>
      <c r="F57" t="s">
        <v>5</v>
      </c>
      <c r="G57">
        <v>6</v>
      </c>
      <c r="H57" t="str">
        <f>VLOOKUP(G57,[1]TEmplate!$E$38:$F$43,2,0)</f>
        <v>Southern United Hockey Club</v>
      </c>
      <c r="I57" t="str">
        <f>VLOOKUP(D57,[1]TEmplate!$E$38:$G$43,3,0)</f>
        <v>HAW</v>
      </c>
      <c r="J57" s="4">
        <f>VLOOKUP(B57,[1]TEmplate!$AC$38:$AE$57,3,0)</f>
        <v>46127</v>
      </c>
    </row>
    <row r="58" spans="1:10" x14ac:dyDescent="0.3">
      <c r="A58" t="s">
        <v>11</v>
      </c>
      <c r="B58">
        <v>1</v>
      </c>
      <c r="C58">
        <v>3</v>
      </c>
      <c r="D58">
        <v>3</v>
      </c>
      <c r="E58" t="str">
        <f>VLOOKUP(D58,[1]TEmplate!$E$38:$F$43,2,0)</f>
        <v>Doncaster Hockey Club</v>
      </c>
      <c r="F58" t="s">
        <v>5</v>
      </c>
      <c r="G58">
        <v>4</v>
      </c>
      <c r="H58" t="str">
        <f>VLOOKUP(G58,[1]TEmplate!$E$38:$F$43,2,0)</f>
        <v>Mentone Hockey Club</v>
      </c>
      <c r="I58" t="str">
        <f>VLOOKUP(D58,[1]TEmplate!$E$38:$G$43,3,0)</f>
        <v>DON</v>
      </c>
      <c r="J58" s="4">
        <f>VLOOKUP(B58,[1]TEmplate!$AC$38:$AE$57,3,0)</f>
        <v>46127</v>
      </c>
    </row>
    <row r="59" spans="1:10" x14ac:dyDescent="0.3">
      <c r="A59" t="s">
        <v>11</v>
      </c>
      <c r="B59">
        <v>2</v>
      </c>
      <c r="C59">
        <v>1</v>
      </c>
      <c r="D59">
        <v>6</v>
      </c>
      <c r="E59" t="str">
        <f>VLOOKUP(D59,[1]TEmplate!$E$38:$F$43,2,0)</f>
        <v>Southern United Hockey Club</v>
      </c>
      <c r="F59" t="s">
        <v>5</v>
      </c>
      <c r="G59">
        <v>3</v>
      </c>
      <c r="H59" t="str">
        <f>VLOOKUP(G59,[1]TEmplate!$E$38:$F$43,2,0)</f>
        <v>Doncaster Hockey Club</v>
      </c>
      <c r="I59" t="str">
        <f>VLOOKUP(D59,[1]TEmplate!$E$38:$G$43,3,0)</f>
        <v>MBN</v>
      </c>
      <c r="J59" s="4">
        <f>VLOOKUP(B59,[1]TEmplate!$AC$38:$AE$57,3,0)</f>
        <v>46134</v>
      </c>
    </row>
    <row r="60" spans="1:10" x14ac:dyDescent="0.3">
      <c r="A60" t="s">
        <v>11</v>
      </c>
      <c r="B60">
        <v>2</v>
      </c>
      <c r="C60">
        <v>2</v>
      </c>
      <c r="D60">
        <v>4</v>
      </c>
      <c r="E60" t="str">
        <f>VLOOKUP(D60,[1]TEmplate!$E$38:$F$43,2,0)</f>
        <v>Mentone Hockey Club</v>
      </c>
      <c r="F60" t="s">
        <v>5</v>
      </c>
      <c r="G60">
        <v>2</v>
      </c>
      <c r="H60" t="str">
        <f>VLOOKUP(G60,[1]TEmplate!$E$38:$F$43,2,0)</f>
        <v>KBH Brumbies Hockey Club</v>
      </c>
      <c r="I60" t="str">
        <f>VLOOKUP(D60,[1]TEmplate!$E$38:$G$43,3,0)</f>
        <v>MNT</v>
      </c>
      <c r="J60" s="4">
        <f>VLOOKUP(B60,[1]TEmplate!$AC$38:$AE$57,3,0)</f>
        <v>46134</v>
      </c>
    </row>
    <row r="61" spans="1:10" x14ac:dyDescent="0.3">
      <c r="A61" t="s">
        <v>11</v>
      </c>
      <c r="B61">
        <v>2</v>
      </c>
      <c r="C61">
        <v>3</v>
      </c>
      <c r="D61">
        <v>5</v>
      </c>
      <c r="E61" t="str">
        <f>VLOOKUP(D61,[1]TEmplate!$E$38:$F$43,2,0)</f>
        <v>MCC Hockey Section</v>
      </c>
      <c r="F61" t="s">
        <v>5</v>
      </c>
      <c r="G61">
        <v>1</v>
      </c>
      <c r="H61" t="str">
        <f>VLOOKUP(G61,[1]TEmplate!$E$38:$F$43,2,0)</f>
        <v>Hawthorn Red</v>
      </c>
      <c r="I61" t="str">
        <f>VLOOKUP(D61,[1]TEmplate!$E$38:$G$43,3,0)</f>
        <v>ELW</v>
      </c>
      <c r="J61" s="4">
        <f>VLOOKUP(B61,[1]TEmplate!$AC$38:$AE$57,3,0)</f>
        <v>46134</v>
      </c>
    </row>
    <row r="62" spans="1:10" x14ac:dyDescent="0.3">
      <c r="A62" t="s">
        <v>11</v>
      </c>
      <c r="B62">
        <v>3</v>
      </c>
      <c r="C62">
        <v>1</v>
      </c>
      <c r="D62">
        <v>2</v>
      </c>
      <c r="E62" t="str">
        <f>VLOOKUP(D62,[1]TEmplate!$E$38:$F$43,2,0)</f>
        <v>KBH Brumbies Hockey Club</v>
      </c>
      <c r="F62" t="s">
        <v>5</v>
      </c>
      <c r="G62">
        <v>3</v>
      </c>
      <c r="H62" t="str">
        <f>VLOOKUP(G62,[1]TEmplate!$E$38:$F$43,2,0)</f>
        <v>Doncaster Hockey Club</v>
      </c>
      <c r="I62" t="str">
        <f>VLOOKUP(D62,[1]TEmplate!$E$38:$G$43,3,0)</f>
        <v>ELG</v>
      </c>
      <c r="J62" s="4">
        <f>VLOOKUP(B62,[1]TEmplate!$AC$38:$AE$57,3,0)</f>
        <v>46141</v>
      </c>
    </row>
    <row r="63" spans="1:10" x14ac:dyDescent="0.3">
      <c r="A63" t="s">
        <v>11</v>
      </c>
      <c r="B63">
        <v>3</v>
      </c>
      <c r="C63">
        <v>2</v>
      </c>
      <c r="D63">
        <v>5</v>
      </c>
      <c r="E63" t="str">
        <f>VLOOKUP(D63,[1]TEmplate!$E$38:$F$43,2,0)</f>
        <v>MCC Hockey Section</v>
      </c>
      <c r="F63" t="s">
        <v>5</v>
      </c>
      <c r="G63">
        <v>6</v>
      </c>
      <c r="H63" t="str">
        <f>VLOOKUP(G63,[1]TEmplate!$E$38:$F$43,2,0)</f>
        <v>Southern United Hockey Club</v>
      </c>
      <c r="I63" t="str">
        <f>VLOOKUP(D63,[1]TEmplate!$E$38:$G$43,3,0)</f>
        <v>ELW</v>
      </c>
      <c r="J63" s="4">
        <f>VLOOKUP(B63,[1]TEmplate!$AC$38:$AE$57,3,0)</f>
        <v>46141</v>
      </c>
    </row>
    <row r="64" spans="1:10" x14ac:dyDescent="0.3">
      <c r="A64" t="s">
        <v>11</v>
      </c>
      <c r="B64">
        <v>3</v>
      </c>
      <c r="C64">
        <v>3</v>
      </c>
      <c r="D64">
        <v>1</v>
      </c>
      <c r="E64" t="str">
        <f>VLOOKUP(D64,[1]TEmplate!$E$38:$F$43,2,0)</f>
        <v>Hawthorn Red</v>
      </c>
      <c r="F64" t="s">
        <v>5</v>
      </c>
      <c r="G64">
        <v>4</v>
      </c>
      <c r="H64" t="str">
        <f>VLOOKUP(G64,[1]TEmplate!$E$38:$F$43,2,0)</f>
        <v>Mentone Hockey Club</v>
      </c>
      <c r="I64" t="str">
        <f>VLOOKUP(D64,[1]TEmplate!$E$38:$G$43,3,0)</f>
        <v>HAW</v>
      </c>
      <c r="J64" s="4">
        <f>VLOOKUP(B64,[1]TEmplate!$AC$38:$AE$57,3,0)</f>
        <v>46141</v>
      </c>
    </row>
    <row r="65" spans="1:10" x14ac:dyDescent="0.3">
      <c r="A65" t="s">
        <v>11</v>
      </c>
      <c r="B65">
        <v>4</v>
      </c>
      <c r="C65">
        <v>1</v>
      </c>
      <c r="D65">
        <v>6</v>
      </c>
      <c r="E65" t="str">
        <f>VLOOKUP(D65,[1]TEmplate!$E$38:$F$43,2,0)</f>
        <v>Southern United Hockey Club</v>
      </c>
      <c r="F65" t="s">
        <v>5</v>
      </c>
      <c r="G65">
        <v>2</v>
      </c>
      <c r="H65" t="str">
        <f>VLOOKUP(G65,[1]TEmplate!$E$38:$F$43,2,0)</f>
        <v>KBH Brumbies Hockey Club</v>
      </c>
      <c r="I65" t="str">
        <f>VLOOKUP(D65,[1]TEmplate!$E$38:$G$43,3,0)</f>
        <v>MBN</v>
      </c>
      <c r="J65" s="4">
        <f>VLOOKUP(B65,[1]TEmplate!$AC$38:$AE$57,3,0)</f>
        <v>46148</v>
      </c>
    </row>
    <row r="66" spans="1:10" x14ac:dyDescent="0.3">
      <c r="A66" t="s">
        <v>11</v>
      </c>
      <c r="B66">
        <v>4</v>
      </c>
      <c r="C66">
        <v>2</v>
      </c>
      <c r="D66">
        <v>5</v>
      </c>
      <c r="E66" t="str">
        <f>VLOOKUP(D66,[1]TEmplate!$E$38:$F$43,2,0)</f>
        <v>MCC Hockey Section</v>
      </c>
      <c r="F66" t="s">
        <v>5</v>
      </c>
      <c r="G66">
        <v>4</v>
      </c>
      <c r="H66" t="str">
        <f>VLOOKUP(G66,[1]TEmplate!$E$38:$F$43,2,0)</f>
        <v>Mentone Hockey Club</v>
      </c>
      <c r="I66" t="str">
        <f>VLOOKUP(D66,[1]TEmplate!$E$38:$G$43,3,0)</f>
        <v>ELW</v>
      </c>
      <c r="J66" s="4">
        <f>VLOOKUP(B66,[1]TEmplate!$AC$38:$AE$57,3,0)</f>
        <v>46148</v>
      </c>
    </row>
    <row r="67" spans="1:10" x14ac:dyDescent="0.3">
      <c r="A67" t="s">
        <v>11</v>
      </c>
      <c r="B67">
        <v>4</v>
      </c>
      <c r="C67">
        <v>3</v>
      </c>
      <c r="D67">
        <v>3</v>
      </c>
      <c r="E67" t="str">
        <f>VLOOKUP(D67,[1]TEmplate!$E$38:$F$43,2,0)</f>
        <v>Doncaster Hockey Club</v>
      </c>
      <c r="F67" t="s">
        <v>5</v>
      </c>
      <c r="G67">
        <v>1</v>
      </c>
      <c r="H67" t="str">
        <f>VLOOKUP(G67,[1]TEmplate!$E$38:$F$43,2,0)</f>
        <v>Hawthorn Red</v>
      </c>
      <c r="I67" t="str">
        <f>VLOOKUP(D67,[1]TEmplate!$E$38:$G$43,3,0)</f>
        <v>DON</v>
      </c>
      <c r="J67" s="4">
        <f>VLOOKUP(B67,[1]TEmplate!$AC$38:$AE$57,3,0)</f>
        <v>46148</v>
      </c>
    </row>
    <row r="68" spans="1:10" x14ac:dyDescent="0.3">
      <c r="A68" t="s">
        <v>11</v>
      </c>
      <c r="B68">
        <v>5</v>
      </c>
      <c r="C68">
        <v>1</v>
      </c>
      <c r="D68">
        <v>4</v>
      </c>
      <c r="E68" t="str">
        <f>VLOOKUP(D68,[1]TEmplate!$E$38:$F$43,2,0)</f>
        <v>Mentone Hockey Club</v>
      </c>
      <c r="F68" t="s">
        <v>5</v>
      </c>
      <c r="G68">
        <v>6</v>
      </c>
      <c r="H68" t="str">
        <f>VLOOKUP(G68,[1]TEmplate!$E$38:$F$43,2,0)</f>
        <v>Southern United Hockey Club</v>
      </c>
      <c r="I68" t="str">
        <f>VLOOKUP(D68,[1]TEmplate!$E$38:$G$43,3,0)</f>
        <v>MNT</v>
      </c>
      <c r="J68" s="4">
        <f>VLOOKUP(B68,[1]TEmplate!$AC$38:$AE$57,3,0)</f>
        <v>46155</v>
      </c>
    </row>
    <row r="69" spans="1:10" x14ac:dyDescent="0.3">
      <c r="A69" t="s">
        <v>11</v>
      </c>
      <c r="B69">
        <v>5</v>
      </c>
      <c r="C69">
        <v>2</v>
      </c>
      <c r="D69">
        <v>1</v>
      </c>
      <c r="E69" t="str">
        <f>VLOOKUP(D69,[1]TEmplate!$E$38:$F$43,2,0)</f>
        <v>Hawthorn Red</v>
      </c>
      <c r="F69" t="s">
        <v>5</v>
      </c>
      <c r="G69">
        <v>2</v>
      </c>
      <c r="H69" t="str">
        <f>VLOOKUP(G69,[1]TEmplate!$E$38:$F$43,2,0)</f>
        <v>KBH Brumbies Hockey Club</v>
      </c>
      <c r="I69" t="str">
        <f>VLOOKUP(D69,[1]TEmplate!$E$38:$G$43,3,0)</f>
        <v>HAW</v>
      </c>
      <c r="J69" s="4">
        <f>VLOOKUP(B69,[1]TEmplate!$AC$38:$AE$57,3,0)</f>
        <v>46155</v>
      </c>
    </row>
    <row r="70" spans="1:10" x14ac:dyDescent="0.3">
      <c r="A70" t="s">
        <v>11</v>
      </c>
      <c r="B70">
        <v>5</v>
      </c>
      <c r="C70">
        <v>3</v>
      </c>
      <c r="D70">
        <v>3</v>
      </c>
      <c r="E70" t="str">
        <f>VLOOKUP(D70,[1]TEmplate!$E$38:$F$43,2,0)</f>
        <v>Doncaster Hockey Club</v>
      </c>
      <c r="F70" t="s">
        <v>5</v>
      </c>
      <c r="G70">
        <v>5</v>
      </c>
      <c r="H70" t="str">
        <f>VLOOKUP(G70,[1]TEmplate!$E$38:$F$43,2,0)</f>
        <v>MCC Hockey Section</v>
      </c>
      <c r="I70" t="str">
        <f>VLOOKUP(D70,[1]TEmplate!$E$38:$G$43,3,0)</f>
        <v>DON</v>
      </c>
      <c r="J70" s="4">
        <f>VLOOKUP(B70,[1]TEmplate!$AC$38:$AE$57,3,0)</f>
        <v>46155</v>
      </c>
    </row>
    <row r="71" spans="1:10" x14ac:dyDescent="0.3">
      <c r="A71" t="s">
        <v>11</v>
      </c>
      <c r="B71">
        <v>6</v>
      </c>
      <c r="C71">
        <v>1</v>
      </c>
      <c r="D71">
        <v>5</v>
      </c>
      <c r="E71" t="str">
        <f>VLOOKUP(D71,[1]TEmplate!$E$38:$F$43,2,0)</f>
        <v>MCC Hockey Section</v>
      </c>
      <c r="F71" t="s">
        <v>5</v>
      </c>
      <c r="G71">
        <v>2</v>
      </c>
      <c r="H71" t="str">
        <f>VLOOKUP(G71,[1]TEmplate!$E$38:$F$43,2,0)</f>
        <v>KBH Brumbies Hockey Club</v>
      </c>
      <c r="I71" t="str">
        <f>VLOOKUP(D71,[1]TEmplate!$E$38:$G$43,3,0)</f>
        <v>ELW</v>
      </c>
      <c r="J71" s="4">
        <f>VLOOKUP(B71,[1]TEmplate!$AC$38:$AE$57,3,0)</f>
        <v>46162</v>
      </c>
    </row>
    <row r="72" spans="1:10" x14ac:dyDescent="0.3">
      <c r="A72" t="s">
        <v>11</v>
      </c>
      <c r="B72">
        <v>6</v>
      </c>
      <c r="C72">
        <v>2</v>
      </c>
      <c r="D72">
        <v>6</v>
      </c>
      <c r="E72" t="str">
        <f>VLOOKUP(D72,[1]TEmplate!$E$38:$F$43,2,0)</f>
        <v>Southern United Hockey Club</v>
      </c>
      <c r="F72" t="s">
        <v>5</v>
      </c>
      <c r="G72">
        <v>1</v>
      </c>
      <c r="H72" t="str">
        <f>VLOOKUP(G72,[1]TEmplate!$E$38:$F$43,2,0)</f>
        <v>Hawthorn Red</v>
      </c>
      <c r="I72" t="str">
        <f>VLOOKUP(D72,[1]TEmplate!$E$38:$G$43,3,0)</f>
        <v>MBN</v>
      </c>
      <c r="J72" s="4">
        <f>VLOOKUP(B72,[1]TEmplate!$AC$38:$AE$57,3,0)</f>
        <v>46162</v>
      </c>
    </row>
    <row r="73" spans="1:10" x14ac:dyDescent="0.3">
      <c r="A73" t="s">
        <v>11</v>
      </c>
      <c r="B73">
        <v>6</v>
      </c>
      <c r="C73">
        <v>3</v>
      </c>
      <c r="D73">
        <v>4</v>
      </c>
      <c r="E73" t="str">
        <f>VLOOKUP(D73,[1]TEmplate!$E$38:$F$43,2,0)</f>
        <v>Mentone Hockey Club</v>
      </c>
      <c r="F73" t="s">
        <v>5</v>
      </c>
      <c r="G73">
        <v>3</v>
      </c>
      <c r="H73" t="str">
        <f>VLOOKUP(G73,[1]TEmplate!$E$38:$F$43,2,0)</f>
        <v>Doncaster Hockey Club</v>
      </c>
      <c r="I73" t="str">
        <f>VLOOKUP(D73,[1]TEmplate!$E$38:$G$43,3,0)</f>
        <v>MNT</v>
      </c>
      <c r="J73" s="4">
        <f>VLOOKUP(B73,[1]TEmplate!$AC$38:$AE$57,3,0)</f>
        <v>46162</v>
      </c>
    </row>
    <row r="74" spans="1:10" x14ac:dyDescent="0.3">
      <c r="A74" t="s">
        <v>11</v>
      </c>
      <c r="B74">
        <v>7</v>
      </c>
      <c r="C74">
        <v>1</v>
      </c>
      <c r="D74">
        <v>3</v>
      </c>
      <c r="E74" t="str">
        <f>VLOOKUP(D74,[1]TEmplate!$E$38:$F$43,2,0)</f>
        <v>Doncaster Hockey Club</v>
      </c>
      <c r="F74" t="s">
        <v>5</v>
      </c>
      <c r="G74">
        <v>6</v>
      </c>
      <c r="H74" t="str">
        <f>VLOOKUP(G74,[1]TEmplate!$E$38:$F$43,2,0)</f>
        <v>Southern United Hockey Club</v>
      </c>
      <c r="I74" t="str">
        <f>VLOOKUP(D74,[1]TEmplate!$E$38:$G$43,3,0)</f>
        <v>DON</v>
      </c>
      <c r="J74" s="4">
        <f>VLOOKUP(B74,[1]TEmplate!$AC$38:$AE$57,3,0)</f>
        <v>46169</v>
      </c>
    </row>
    <row r="75" spans="1:10" x14ac:dyDescent="0.3">
      <c r="A75" t="s">
        <v>11</v>
      </c>
      <c r="B75">
        <v>7</v>
      </c>
      <c r="C75">
        <v>2</v>
      </c>
      <c r="D75">
        <v>2</v>
      </c>
      <c r="E75" t="str">
        <f>VLOOKUP(D75,[1]TEmplate!$E$38:$F$43,2,0)</f>
        <v>KBH Brumbies Hockey Club</v>
      </c>
      <c r="F75" t="s">
        <v>5</v>
      </c>
      <c r="G75">
        <v>4</v>
      </c>
      <c r="H75" t="str">
        <f>VLOOKUP(G75,[1]TEmplate!$E$38:$F$43,2,0)</f>
        <v>Mentone Hockey Club</v>
      </c>
      <c r="I75" t="str">
        <f>VLOOKUP(D75,[1]TEmplate!$E$38:$G$43,3,0)</f>
        <v>ELG</v>
      </c>
      <c r="J75" s="4">
        <f>VLOOKUP(B75,[1]TEmplate!$AC$38:$AE$57,3,0)</f>
        <v>46169</v>
      </c>
    </row>
    <row r="76" spans="1:10" x14ac:dyDescent="0.3">
      <c r="A76" t="s">
        <v>11</v>
      </c>
      <c r="B76">
        <v>7</v>
      </c>
      <c r="C76">
        <v>3</v>
      </c>
      <c r="D76">
        <v>1</v>
      </c>
      <c r="E76" t="str">
        <f>VLOOKUP(D76,[1]TEmplate!$E$38:$F$43,2,0)</f>
        <v>Hawthorn Red</v>
      </c>
      <c r="F76" t="s">
        <v>5</v>
      </c>
      <c r="G76">
        <v>5</v>
      </c>
      <c r="H76" t="str">
        <f>VLOOKUP(G76,[1]TEmplate!$E$38:$F$43,2,0)</f>
        <v>MCC Hockey Section</v>
      </c>
      <c r="I76" t="str">
        <f>VLOOKUP(D76,[1]TEmplate!$E$38:$G$43,3,0)</f>
        <v>HAW</v>
      </c>
      <c r="J76" s="4">
        <f>VLOOKUP(B76,[1]TEmplate!$AC$38:$AE$57,3,0)</f>
        <v>46169</v>
      </c>
    </row>
    <row r="77" spans="1:10" x14ac:dyDescent="0.3">
      <c r="A77" t="s">
        <v>11</v>
      </c>
      <c r="B77">
        <v>8</v>
      </c>
      <c r="C77">
        <v>1</v>
      </c>
      <c r="D77">
        <v>3</v>
      </c>
      <c r="E77" t="str">
        <f>VLOOKUP(D77,[1]TEmplate!$E$38:$F$43,2,0)</f>
        <v>Doncaster Hockey Club</v>
      </c>
      <c r="F77" t="s">
        <v>5</v>
      </c>
      <c r="G77">
        <v>2</v>
      </c>
      <c r="H77" t="str">
        <f>VLOOKUP(G77,[1]TEmplate!$E$38:$F$43,2,0)</f>
        <v>KBH Brumbies Hockey Club</v>
      </c>
      <c r="I77" t="str">
        <f>VLOOKUP(D77,[1]TEmplate!$E$38:$G$43,3,0)</f>
        <v>DON</v>
      </c>
      <c r="J77" s="4">
        <f>VLOOKUP(B77,[1]TEmplate!$AC$38:$AE$57,3,0)</f>
        <v>46176</v>
      </c>
    </row>
    <row r="78" spans="1:10" x14ac:dyDescent="0.3">
      <c r="A78" t="s">
        <v>11</v>
      </c>
      <c r="B78">
        <v>8</v>
      </c>
      <c r="C78">
        <v>2</v>
      </c>
      <c r="D78">
        <v>6</v>
      </c>
      <c r="E78" t="str">
        <f>VLOOKUP(D78,[1]TEmplate!$E$38:$F$43,2,0)</f>
        <v>Southern United Hockey Club</v>
      </c>
      <c r="F78" t="s">
        <v>5</v>
      </c>
      <c r="G78">
        <v>5</v>
      </c>
      <c r="H78" t="str">
        <f>VLOOKUP(G78,[1]TEmplate!$E$38:$F$43,2,0)</f>
        <v>MCC Hockey Section</v>
      </c>
      <c r="I78" t="str">
        <f>VLOOKUP(D78,[1]TEmplate!$E$38:$G$43,3,0)</f>
        <v>MBN</v>
      </c>
      <c r="J78" s="4">
        <f>VLOOKUP(B78,[1]TEmplate!$AC$38:$AE$57,3,0)</f>
        <v>46176</v>
      </c>
    </row>
    <row r="79" spans="1:10" x14ac:dyDescent="0.3">
      <c r="A79" t="s">
        <v>11</v>
      </c>
      <c r="B79">
        <v>8</v>
      </c>
      <c r="C79">
        <v>3</v>
      </c>
      <c r="D79">
        <v>4</v>
      </c>
      <c r="E79" t="str">
        <f>VLOOKUP(D79,[1]TEmplate!$E$38:$F$43,2,0)</f>
        <v>Mentone Hockey Club</v>
      </c>
      <c r="F79" t="s">
        <v>5</v>
      </c>
      <c r="G79">
        <v>1</v>
      </c>
      <c r="H79" t="str">
        <f>VLOOKUP(G79,[1]TEmplate!$E$38:$F$43,2,0)</f>
        <v>Hawthorn Red</v>
      </c>
      <c r="I79" t="str">
        <f>VLOOKUP(D79,[1]TEmplate!$E$38:$G$43,3,0)</f>
        <v>MNT</v>
      </c>
      <c r="J79" s="4">
        <f>VLOOKUP(B79,[1]TEmplate!$AC$38:$AE$57,3,0)</f>
        <v>46176</v>
      </c>
    </row>
    <row r="80" spans="1:10" x14ac:dyDescent="0.3">
      <c r="A80" t="s">
        <v>11</v>
      </c>
      <c r="B80">
        <v>9</v>
      </c>
      <c r="C80">
        <v>1</v>
      </c>
      <c r="D80">
        <v>2</v>
      </c>
      <c r="E80" t="str">
        <f>VLOOKUP(D80,[1]TEmplate!$E$38:$F$43,2,0)</f>
        <v>KBH Brumbies Hockey Club</v>
      </c>
      <c r="F80" t="s">
        <v>5</v>
      </c>
      <c r="G80">
        <v>6</v>
      </c>
      <c r="H80" t="str">
        <f>VLOOKUP(G80,[1]TEmplate!$E$38:$F$43,2,0)</f>
        <v>Southern United Hockey Club</v>
      </c>
      <c r="I80" t="str">
        <f>VLOOKUP(D80,[1]TEmplate!$E$38:$G$43,3,0)</f>
        <v>ELG</v>
      </c>
      <c r="J80" s="4">
        <f>VLOOKUP(B80,[1]TEmplate!$AC$38:$AE$57,3,0)</f>
        <v>46190</v>
      </c>
    </row>
    <row r="81" spans="1:10" x14ac:dyDescent="0.3">
      <c r="A81" t="s">
        <v>11</v>
      </c>
      <c r="B81">
        <v>9</v>
      </c>
      <c r="C81">
        <v>2</v>
      </c>
      <c r="D81">
        <v>4</v>
      </c>
      <c r="E81" t="str">
        <f>VLOOKUP(D81,[1]TEmplate!$E$38:$F$43,2,0)</f>
        <v>Mentone Hockey Club</v>
      </c>
      <c r="F81" t="s">
        <v>5</v>
      </c>
      <c r="G81">
        <v>5</v>
      </c>
      <c r="H81" t="str">
        <f>VLOOKUP(G81,[1]TEmplate!$E$38:$F$43,2,0)</f>
        <v>MCC Hockey Section</v>
      </c>
      <c r="I81" t="str">
        <f>VLOOKUP(D81,[1]TEmplate!$E$38:$G$43,3,0)</f>
        <v>MNT</v>
      </c>
      <c r="J81" s="4">
        <f>VLOOKUP(B81,[1]TEmplate!$AC$38:$AE$57,3,0)</f>
        <v>46190</v>
      </c>
    </row>
    <row r="82" spans="1:10" x14ac:dyDescent="0.3">
      <c r="A82" t="s">
        <v>11</v>
      </c>
      <c r="B82">
        <v>9</v>
      </c>
      <c r="C82">
        <v>3</v>
      </c>
      <c r="D82">
        <v>1</v>
      </c>
      <c r="E82" t="str">
        <f>VLOOKUP(D82,[1]TEmplate!$E$38:$F$43,2,0)</f>
        <v>Hawthorn Red</v>
      </c>
      <c r="F82" t="s">
        <v>5</v>
      </c>
      <c r="G82">
        <v>3</v>
      </c>
      <c r="H82" t="str">
        <f>VLOOKUP(G82,[1]TEmplate!$E$38:$F$43,2,0)</f>
        <v>Doncaster Hockey Club</v>
      </c>
      <c r="I82" t="str">
        <f>VLOOKUP(D82,[1]TEmplate!$E$38:$G$43,3,0)</f>
        <v>HAW</v>
      </c>
      <c r="J82" s="4">
        <f>VLOOKUP(B82,[1]TEmplate!$AC$38:$AE$57,3,0)</f>
        <v>46190</v>
      </c>
    </row>
    <row r="83" spans="1:10" x14ac:dyDescent="0.3">
      <c r="A83" t="s">
        <v>11</v>
      </c>
      <c r="B83">
        <v>10</v>
      </c>
      <c r="C83">
        <v>1</v>
      </c>
      <c r="D83">
        <v>6</v>
      </c>
      <c r="E83" t="str">
        <f>VLOOKUP(D83,[1]TEmplate!$E$38:$F$43,2,0)</f>
        <v>Southern United Hockey Club</v>
      </c>
      <c r="F83" t="s">
        <v>5</v>
      </c>
      <c r="G83">
        <v>4</v>
      </c>
      <c r="H83" t="str">
        <f>VLOOKUP(G83,[1]TEmplate!$E$38:$F$43,2,0)</f>
        <v>Mentone Hockey Club</v>
      </c>
      <c r="I83" t="str">
        <f>VLOOKUP(D83,[1]TEmplate!$E$38:$G$43,3,0)</f>
        <v>MBN</v>
      </c>
      <c r="J83" s="4">
        <f>VLOOKUP(B83,[1]TEmplate!$AC$38:$AE$57,3,0)</f>
        <v>46197</v>
      </c>
    </row>
    <row r="84" spans="1:10" x14ac:dyDescent="0.3">
      <c r="A84" t="s">
        <v>11</v>
      </c>
      <c r="B84">
        <v>10</v>
      </c>
      <c r="C84">
        <v>2</v>
      </c>
      <c r="D84">
        <v>2</v>
      </c>
      <c r="E84" t="str">
        <f>VLOOKUP(D84,[1]TEmplate!$E$38:$F$43,2,0)</f>
        <v>KBH Brumbies Hockey Club</v>
      </c>
      <c r="F84" t="s">
        <v>5</v>
      </c>
      <c r="G84">
        <v>1</v>
      </c>
      <c r="H84" t="str">
        <f>VLOOKUP(G84,[1]TEmplate!$E$38:$F$43,2,0)</f>
        <v>Hawthorn Red</v>
      </c>
      <c r="I84" t="str">
        <f>VLOOKUP(D84,[1]TEmplate!$E$38:$G$43,3,0)</f>
        <v>ELG</v>
      </c>
      <c r="J84" s="4">
        <f>VLOOKUP(B84,[1]TEmplate!$AC$38:$AE$57,3,0)</f>
        <v>46197</v>
      </c>
    </row>
    <row r="85" spans="1:10" x14ac:dyDescent="0.3">
      <c r="A85" t="s">
        <v>11</v>
      </c>
      <c r="B85">
        <v>10</v>
      </c>
      <c r="C85">
        <v>3</v>
      </c>
      <c r="D85">
        <v>5</v>
      </c>
      <c r="E85" t="str">
        <f>VLOOKUP(D85,[1]TEmplate!$E$38:$F$43,2,0)</f>
        <v>MCC Hockey Section</v>
      </c>
      <c r="F85" t="s">
        <v>5</v>
      </c>
      <c r="G85">
        <v>3</v>
      </c>
      <c r="H85" t="str">
        <f>VLOOKUP(G85,[1]TEmplate!$E$38:$F$43,2,0)</f>
        <v>Doncaster Hockey Club</v>
      </c>
      <c r="I85" t="str">
        <f>VLOOKUP(D85,[1]TEmplate!$E$38:$G$43,3,0)</f>
        <v>ELW</v>
      </c>
      <c r="J85" s="4">
        <f>VLOOKUP(B85,[1]TEmplate!$AC$38:$AE$57,3,0)</f>
        <v>46197</v>
      </c>
    </row>
    <row r="86" spans="1:10" x14ac:dyDescent="0.3">
      <c r="A86" t="s">
        <v>11</v>
      </c>
      <c r="B86">
        <v>11</v>
      </c>
      <c r="C86">
        <v>1</v>
      </c>
      <c r="D86">
        <v>2</v>
      </c>
      <c r="E86" t="str">
        <f>VLOOKUP(D86,[1]TEmplate!$E$38:$F$43,2,0)</f>
        <v>KBH Brumbies Hockey Club</v>
      </c>
      <c r="F86" t="s">
        <v>5</v>
      </c>
      <c r="G86">
        <v>5</v>
      </c>
      <c r="H86" t="str">
        <f>VLOOKUP(G86,[1]TEmplate!$E$38:$F$43,2,0)</f>
        <v>MCC Hockey Section</v>
      </c>
      <c r="I86" t="str">
        <f>VLOOKUP(D86,[1]TEmplate!$E$38:$G$43,3,0)</f>
        <v>ELG</v>
      </c>
      <c r="J86" s="4">
        <f>VLOOKUP(B86,[1]TEmplate!$AC$38:$AE$57,3,0)</f>
        <v>46204</v>
      </c>
    </row>
    <row r="87" spans="1:10" x14ac:dyDescent="0.3">
      <c r="A87" t="s">
        <v>11</v>
      </c>
      <c r="B87">
        <v>11</v>
      </c>
      <c r="C87">
        <v>2</v>
      </c>
      <c r="D87">
        <v>1</v>
      </c>
      <c r="E87" t="str">
        <f>VLOOKUP(D87,[1]TEmplate!$E$38:$F$43,2,0)</f>
        <v>Hawthorn Red</v>
      </c>
      <c r="F87" t="s">
        <v>5</v>
      </c>
      <c r="G87">
        <v>6</v>
      </c>
      <c r="H87" t="str">
        <f>VLOOKUP(G87,[1]TEmplate!$E$38:$F$43,2,0)</f>
        <v>Southern United Hockey Club</v>
      </c>
      <c r="I87" t="str">
        <f>VLOOKUP(D87,[1]TEmplate!$E$38:$G$43,3,0)</f>
        <v>HAW</v>
      </c>
      <c r="J87" s="4">
        <f>VLOOKUP(B87,[1]TEmplate!$AC$38:$AE$57,3,0)</f>
        <v>46204</v>
      </c>
    </row>
    <row r="88" spans="1:10" x14ac:dyDescent="0.3">
      <c r="A88" t="s">
        <v>11</v>
      </c>
      <c r="B88">
        <v>11</v>
      </c>
      <c r="C88">
        <v>3</v>
      </c>
      <c r="D88">
        <v>3</v>
      </c>
      <c r="E88" t="str">
        <f>VLOOKUP(D88,[1]TEmplate!$E$38:$F$43,2,0)</f>
        <v>Doncaster Hockey Club</v>
      </c>
      <c r="F88" t="s">
        <v>5</v>
      </c>
      <c r="G88">
        <v>4</v>
      </c>
      <c r="H88" t="str">
        <f>VLOOKUP(G88,[1]TEmplate!$E$38:$F$43,2,0)</f>
        <v>Mentone Hockey Club</v>
      </c>
      <c r="I88" t="str">
        <f>VLOOKUP(D88,[1]TEmplate!$E$38:$G$43,3,0)</f>
        <v>DON</v>
      </c>
      <c r="J88" s="4">
        <f>VLOOKUP(B88,[1]TEmplate!$AC$38:$AE$57,3,0)</f>
        <v>46204</v>
      </c>
    </row>
    <row r="89" spans="1:10" x14ac:dyDescent="0.3">
      <c r="A89" t="s">
        <v>11</v>
      </c>
      <c r="B89">
        <v>12</v>
      </c>
      <c r="C89">
        <v>1</v>
      </c>
      <c r="D89">
        <v>6</v>
      </c>
      <c r="E89" t="str">
        <f>VLOOKUP(D89,[1]TEmplate!$E$38:$F$43,2,0)</f>
        <v>Southern United Hockey Club</v>
      </c>
      <c r="F89" t="s">
        <v>5</v>
      </c>
      <c r="G89">
        <v>3</v>
      </c>
      <c r="H89" t="str">
        <f>VLOOKUP(G89,[1]TEmplate!$E$38:$F$43,2,0)</f>
        <v>Doncaster Hockey Club</v>
      </c>
      <c r="I89" t="str">
        <f>VLOOKUP(D89,[1]TEmplate!$E$38:$G$43,3,0)</f>
        <v>MBN</v>
      </c>
      <c r="J89" s="4">
        <f>VLOOKUP(B89,[1]TEmplate!$AC$38:$AE$57,3,0)</f>
        <v>46218</v>
      </c>
    </row>
    <row r="90" spans="1:10" x14ac:dyDescent="0.3">
      <c r="A90" t="s">
        <v>11</v>
      </c>
      <c r="B90">
        <v>12</v>
      </c>
      <c r="C90">
        <v>2</v>
      </c>
      <c r="D90">
        <v>4</v>
      </c>
      <c r="E90" t="str">
        <f>VLOOKUP(D90,[1]TEmplate!$E$38:$F$43,2,0)</f>
        <v>Mentone Hockey Club</v>
      </c>
      <c r="F90" t="s">
        <v>5</v>
      </c>
      <c r="G90">
        <v>2</v>
      </c>
      <c r="H90" t="str">
        <f>VLOOKUP(G90,[1]TEmplate!$E$38:$F$43,2,0)</f>
        <v>KBH Brumbies Hockey Club</v>
      </c>
      <c r="I90" t="str">
        <f>VLOOKUP(D90,[1]TEmplate!$E$38:$G$43,3,0)</f>
        <v>MNT</v>
      </c>
      <c r="J90" s="4">
        <f>VLOOKUP(B90,[1]TEmplate!$AC$38:$AE$57,3,0)</f>
        <v>46218</v>
      </c>
    </row>
    <row r="91" spans="1:10" x14ac:dyDescent="0.3">
      <c r="A91" t="s">
        <v>11</v>
      </c>
      <c r="B91">
        <v>12</v>
      </c>
      <c r="C91">
        <v>3</v>
      </c>
      <c r="D91">
        <v>5</v>
      </c>
      <c r="E91" t="str">
        <f>VLOOKUP(D91,[1]TEmplate!$E$38:$F$43,2,0)</f>
        <v>MCC Hockey Section</v>
      </c>
      <c r="F91" t="s">
        <v>5</v>
      </c>
      <c r="G91">
        <v>1</v>
      </c>
      <c r="H91" t="str">
        <f>VLOOKUP(G91,[1]TEmplate!$E$38:$F$43,2,0)</f>
        <v>Hawthorn Red</v>
      </c>
      <c r="I91" t="str">
        <f>VLOOKUP(D91,[1]TEmplate!$E$38:$G$43,3,0)</f>
        <v>ELW</v>
      </c>
      <c r="J91" s="4">
        <f>VLOOKUP(B91,[1]TEmplate!$AC$38:$AE$57,3,0)</f>
        <v>46218</v>
      </c>
    </row>
    <row r="92" spans="1:10" x14ac:dyDescent="0.3">
      <c r="A92" t="s">
        <v>11</v>
      </c>
      <c r="B92">
        <v>13</v>
      </c>
      <c r="C92">
        <v>1</v>
      </c>
      <c r="D92">
        <v>2</v>
      </c>
      <c r="E92" t="str">
        <f>VLOOKUP(D92,[1]TEmplate!$E$38:$F$43,2,0)</f>
        <v>KBH Brumbies Hockey Club</v>
      </c>
      <c r="F92" t="s">
        <v>5</v>
      </c>
      <c r="G92">
        <v>3</v>
      </c>
      <c r="H92" t="str">
        <f>VLOOKUP(G92,[1]TEmplate!$E$38:$F$43,2,0)</f>
        <v>Doncaster Hockey Club</v>
      </c>
      <c r="I92" t="str">
        <f>VLOOKUP(D92,[1]TEmplate!$E$38:$G$43,3,0)</f>
        <v>ELG</v>
      </c>
      <c r="J92" s="4">
        <f>VLOOKUP(B92,[1]TEmplate!$AC$38:$AE$57,3,0)</f>
        <v>46225</v>
      </c>
    </row>
    <row r="93" spans="1:10" x14ac:dyDescent="0.3">
      <c r="A93" t="s">
        <v>11</v>
      </c>
      <c r="B93">
        <v>13</v>
      </c>
      <c r="C93">
        <v>2</v>
      </c>
      <c r="D93">
        <v>5</v>
      </c>
      <c r="E93" t="str">
        <f>VLOOKUP(D93,[1]TEmplate!$E$38:$F$43,2,0)</f>
        <v>MCC Hockey Section</v>
      </c>
      <c r="F93" t="s">
        <v>5</v>
      </c>
      <c r="G93">
        <v>6</v>
      </c>
      <c r="H93" t="str">
        <f>VLOOKUP(G93,[1]TEmplate!$E$38:$F$43,2,0)</f>
        <v>Southern United Hockey Club</v>
      </c>
      <c r="I93" t="str">
        <f>VLOOKUP(D93,[1]TEmplate!$E$38:$G$43,3,0)</f>
        <v>ELW</v>
      </c>
      <c r="J93" s="4">
        <f>VLOOKUP(B93,[1]TEmplate!$AC$38:$AE$57,3,0)</f>
        <v>46225</v>
      </c>
    </row>
    <row r="94" spans="1:10" x14ac:dyDescent="0.3">
      <c r="A94" t="s">
        <v>11</v>
      </c>
      <c r="B94">
        <v>13</v>
      </c>
      <c r="C94">
        <v>3</v>
      </c>
      <c r="D94">
        <v>1</v>
      </c>
      <c r="E94" t="str">
        <f>VLOOKUP(D94,[1]TEmplate!$E$38:$F$43,2,0)</f>
        <v>Hawthorn Red</v>
      </c>
      <c r="F94" t="s">
        <v>5</v>
      </c>
      <c r="G94">
        <v>4</v>
      </c>
      <c r="H94" t="str">
        <f>VLOOKUP(G94,[1]TEmplate!$E$38:$F$43,2,0)</f>
        <v>Mentone Hockey Club</v>
      </c>
      <c r="I94" t="str">
        <f>VLOOKUP(D94,[1]TEmplate!$E$38:$G$43,3,0)</f>
        <v>HAW</v>
      </c>
      <c r="J94" s="4">
        <f>VLOOKUP(B94,[1]TEmplate!$AC$38:$AE$57,3,0)</f>
        <v>46225</v>
      </c>
    </row>
    <row r="95" spans="1:10" x14ac:dyDescent="0.3">
      <c r="A95" t="s">
        <v>11</v>
      </c>
      <c r="B95">
        <v>14</v>
      </c>
      <c r="C95">
        <v>1</v>
      </c>
      <c r="D95">
        <v>6</v>
      </c>
      <c r="E95" t="str">
        <f>VLOOKUP(D95,[1]TEmplate!$E$38:$F$43,2,0)</f>
        <v>Southern United Hockey Club</v>
      </c>
      <c r="F95" t="s">
        <v>5</v>
      </c>
      <c r="G95">
        <v>2</v>
      </c>
      <c r="H95" t="str">
        <f>VLOOKUP(G95,[1]TEmplate!$E$38:$F$43,2,0)</f>
        <v>KBH Brumbies Hockey Club</v>
      </c>
      <c r="I95" t="str">
        <f>VLOOKUP(D95,[1]TEmplate!$E$38:$G$43,3,0)</f>
        <v>MBN</v>
      </c>
      <c r="J95" s="4">
        <f>VLOOKUP(B95,[1]TEmplate!$AC$38:$AE$57,3,0)</f>
        <v>46232</v>
      </c>
    </row>
    <row r="96" spans="1:10" x14ac:dyDescent="0.3">
      <c r="A96" t="s">
        <v>11</v>
      </c>
      <c r="B96">
        <v>14</v>
      </c>
      <c r="C96">
        <v>2</v>
      </c>
      <c r="D96">
        <v>5</v>
      </c>
      <c r="E96" t="str">
        <f>VLOOKUP(D96,[1]TEmplate!$E$38:$F$43,2,0)</f>
        <v>MCC Hockey Section</v>
      </c>
      <c r="F96" t="s">
        <v>5</v>
      </c>
      <c r="G96">
        <v>4</v>
      </c>
      <c r="H96" t="str">
        <f>VLOOKUP(G96,[1]TEmplate!$E$38:$F$43,2,0)</f>
        <v>Mentone Hockey Club</v>
      </c>
      <c r="I96" t="str">
        <f>VLOOKUP(D96,[1]TEmplate!$E$38:$G$43,3,0)</f>
        <v>ELW</v>
      </c>
      <c r="J96" s="4">
        <f>VLOOKUP(B96,[1]TEmplate!$AC$38:$AE$57,3,0)</f>
        <v>46232</v>
      </c>
    </row>
    <row r="97" spans="1:10" x14ac:dyDescent="0.3">
      <c r="A97" t="s">
        <v>11</v>
      </c>
      <c r="B97">
        <v>14</v>
      </c>
      <c r="C97">
        <v>3</v>
      </c>
      <c r="D97">
        <v>3</v>
      </c>
      <c r="E97" t="str">
        <f>VLOOKUP(D97,[1]TEmplate!$E$38:$F$43,2,0)</f>
        <v>Doncaster Hockey Club</v>
      </c>
      <c r="F97" t="s">
        <v>5</v>
      </c>
      <c r="G97">
        <v>1</v>
      </c>
      <c r="H97" t="str">
        <f>VLOOKUP(G97,[1]TEmplate!$E$38:$F$43,2,0)</f>
        <v>Hawthorn Red</v>
      </c>
      <c r="I97" t="str">
        <f>VLOOKUP(D97,[1]TEmplate!$E$38:$G$43,3,0)</f>
        <v>DON</v>
      </c>
      <c r="J97" s="4">
        <f>VLOOKUP(B97,[1]TEmplate!$AC$38:$AE$57,3,0)</f>
        <v>46232</v>
      </c>
    </row>
    <row r="98" spans="1:10" x14ac:dyDescent="0.3">
      <c r="A98" t="s">
        <v>11</v>
      </c>
      <c r="B98">
        <v>15</v>
      </c>
      <c r="C98">
        <v>1</v>
      </c>
      <c r="D98">
        <v>4</v>
      </c>
      <c r="E98" t="str">
        <f>VLOOKUP(D98,[1]TEmplate!$E$38:$F$43,2,0)</f>
        <v>Mentone Hockey Club</v>
      </c>
      <c r="F98" t="s">
        <v>5</v>
      </c>
      <c r="G98">
        <v>6</v>
      </c>
      <c r="H98" t="str">
        <f>VLOOKUP(G98,[1]TEmplate!$E$38:$F$43,2,0)</f>
        <v>Southern United Hockey Club</v>
      </c>
      <c r="I98" t="str">
        <f>VLOOKUP(D98,[1]TEmplate!$E$38:$G$43,3,0)</f>
        <v>MNT</v>
      </c>
      <c r="J98" s="4">
        <f>VLOOKUP(B98,[1]TEmplate!$AC$38:$AE$57,3,0)</f>
        <v>46239</v>
      </c>
    </row>
    <row r="99" spans="1:10" x14ac:dyDescent="0.3">
      <c r="A99" t="s">
        <v>11</v>
      </c>
      <c r="B99">
        <v>15</v>
      </c>
      <c r="C99">
        <v>2</v>
      </c>
      <c r="D99">
        <v>1</v>
      </c>
      <c r="E99" t="str">
        <f>VLOOKUP(D99,[1]TEmplate!$E$38:$F$43,2,0)</f>
        <v>Hawthorn Red</v>
      </c>
      <c r="F99" t="s">
        <v>5</v>
      </c>
      <c r="G99">
        <v>2</v>
      </c>
      <c r="H99" t="str">
        <f>VLOOKUP(G99,[1]TEmplate!$E$38:$F$43,2,0)</f>
        <v>KBH Brumbies Hockey Club</v>
      </c>
      <c r="I99" t="str">
        <f>VLOOKUP(D99,[1]TEmplate!$E$38:$G$43,3,0)</f>
        <v>HAW</v>
      </c>
      <c r="J99" s="4">
        <f>VLOOKUP(B99,[1]TEmplate!$AC$38:$AE$57,3,0)</f>
        <v>46239</v>
      </c>
    </row>
    <row r="100" spans="1:10" x14ac:dyDescent="0.3">
      <c r="A100" t="s">
        <v>11</v>
      </c>
      <c r="B100">
        <v>15</v>
      </c>
      <c r="C100">
        <v>3</v>
      </c>
      <c r="D100">
        <v>3</v>
      </c>
      <c r="E100" t="str">
        <f>VLOOKUP(D100,[1]TEmplate!$E$38:$F$43,2,0)</f>
        <v>Doncaster Hockey Club</v>
      </c>
      <c r="F100" t="s">
        <v>5</v>
      </c>
      <c r="G100">
        <v>5</v>
      </c>
      <c r="H100" t="str">
        <f>VLOOKUP(G100,[1]TEmplate!$E$38:$F$43,2,0)</f>
        <v>MCC Hockey Section</v>
      </c>
      <c r="I100" t="str">
        <f>VLOOKUP(D100,[1]TEmplate!$E$38:$G$43,3,0)</f>
        <v>DON</v>
      </c>
      <c r="J100" s="4">
        <f>VLOOKUP(B100,[1]TEmplate!$AC$38:$AE$57,3,0)</f>
        <v>46239</v>
      </c>
    </row>
    <row r="101" spans="1:10" x14ac:dyDescent="0.3">
      <c r="A101" t="s">
        <v>11</v>
      </c>
      <c r="B101">
        <v>16</v>
      </c>
      <c r="C101">
        <v>1</v>
      </c>
      <c r="D101">
        <v>5</v>
      </c>
      <c r="E101" t="str">
        <f>VLOOKUP(D101,[1]TEmplate!$E$38:$F$43,2,0)</f>
        <v>MCC Hockey Section</v>
      </c>
      <c r="F101" t="s">
        <v>5</v>
      </c>
      <c r="G101">
        <v>2</v>
      </c>
      <c r="H101" t="str">
        <f>VLOOKUP(G101,[1]TEmplate!$E$38:$F$43,2,0)</f>
        <v>KBH Brumbies Hockey Club</v>
      </c>
      <c r="I101" t="str">
        <f>VLOOKUP(D101,[1]TEmplate!$E$38:$G$43,3,0)</f>
        <v>ELW</v>
      </c>
      <c r="J101" s="4">
        <f>VLOOKUP(B101,[1]TEmplate!$AC$38:$AE$57,3,0)</f>
        <v>46246</v>
      </c>
    </row>
    <row r="102" spans="1:10" x14ac:dyDescent="0.3">
      <c r="A102" t="s">
        <v>11</v>
      </c>
      <c r="B102">
        <v>16</v>
      </c>
      <c r="C102">
        <v>2</v>
      </c>
      <c r="D102">
        <v>6</v>
      </c>
      <c r="E102" t="str">
        <f>VLOOKUP(D102,[1]TEmplate!$E$38:$F$43,2,0)</f>
        <v>Southern United Hockey Club</v>
      </c>
      <c r="F102" t="s">
        <v>5</v>
      </c>
      <c r="G102">
        <v>1</v>
      </c>
      <c r="H102" t="str">
        <f>VLOOKUP(G102,[1]TEmplate!$E$38:$F$43,2,0)</f>
        <v>Hawthorn Red</v>
      </c>
      <c r="I102" t="str">
        <f>VLOOKUP(D102,[1]TEmplate!$E$38:$G$43,3,0)</f>
        <v>MBN</v>
      </c>
      <c r="J102" s="4">
        <f>VLOOKUP(B102,[1]TEmplate!$AC$38:$AE$57,3,0)</f>
        <v>46246</v>
      </c>
    </row>
    <row r="103" spans="1:10" x14ac:dyDescent="0.3">
      <c r="A103" t="s">
        <v>11</v>
      </c>
      <c r="B103">
        <v>16</v>
      </c>
      <c r="C103">
        <v>3</v>
      </c>
      <c r="D103">
        <v>4</v>
      </c>
      <c r="E103" t="str">
        <f>VLOOKUP(D103,[1]TEmplate!$E$38:$F$43,2,0)</f>
        <v>Mentone Hockey Club</v>
      </c>
      <c r="F103" t="s">
        <v>5</v>
      </c>
      <c r="G103">
        <v>3</v>
      </c>
      <c r="H103" t="str">
        <f>VLOOKUP(G103,[1]TEmplate!$E$38:$F$43,2,0)</f>
        <v>Doncaster Hockey Club</v>
      </c>
      <c r="I103" t="str">
        <f>VLOOKUP(D103,[1]TEmplate!$E$38:$G$43,3,0)</f>
        <v>MNT</v>
      </c>
      <c r="J103" s="4">
        <f>VLOOKUP(B103,[1]TEmplate!$AC$38:$AE$57,3,0)</f>
        <v>46246</v>
      </c>
    </row>
    <row r="104" spans="1:10" x14ac:dyDescent="0.3">
      <c r="A104" t="s">
        <v>11</v>
      </c>
      <c r="B104">
        <v>17</v>
      </c>
      <c r="C104">
        <v>1</v>
      </c>
      <c r="D104">
        <v>3</v>
      </c>
      <c r="E104" t="str">
        <f>VLOOKUP(D104,[1]TEmplate!$E$38:$F$43,2,0)</f>
        <v>Doncaster Hockey Club</v>
      </c>
      <c r="F104" t="s">
        <v>5</v>
      </c>
      <c r="G104">
        <v>6</v>
      </c>
      <c r="H104" t="str">
        <f>VLOOKUP(G104,[1]TEmplate!$E$38:$F$43,2,0)</f>
        <v>Southern United Hockey Club</v>
      </c>
      <c r="I104" t="str">
        <f>VLOOKUP(D104,[1]TEmplate!$E$38:$G$43,3,0)</f>
        <v>DON</v>
      </c>
      <c r="J104" s="4">
        <f>VLOOKUP(B104,[1]TEmplate!$AC$38:$AE$57,3,0)</f>
        <v>46253</v>
      </c>
    </row>
    <row r="105" spans="1:10" x14ac:dyDescent="0.3">
      <c r="A105" t="s">
        <v>11</v>
      </c>
      <c r="B105">
        <v>17</v>
      </c>
      <c r="C105">
        <v>2</v>
      </c>
      <c r="D105">
        <v>2</v>
      </c>
      <c r="E105" t="str">
        <f>VLOOKUP(D105,[1]TEmplate!$E$38:$F$43,2,0)</f>
        <v>KBH Brumbies Hockey Club</v>
      </c>
      <c r="F105" t="s">
        <v>5</v>
      </c>
      <c r="G105">
        <v>4</v>
      </c>
      <c r="H105" t="str">
        <f>VLOOKUP(G105,[1]TEmplate!$E$38:$F$43,2,0)</f>
        <v>Mentone Hockey Club</v>
      </c>
      <c r="I105" t="str">
        <f>VLOOKUP(D105,[1]TEmplate!$E$38:$G$43,3,0)</f>
        <v>ELG</v>
      </c>
      <c r="J105" s="4">
        <f>VLOOKUP(B105,[1]TEmplate!$AC$38:$AE$57,3,0)</f>
        <v>46253</v>
      </c>
    </row>
    <row r="106" spans="1:10" x14ac:dyDescent="0.3">
      <c r="A106" t="s">
        <v>11</v>
      </c>
      <c r="B106">
        <v>17</v>
      </c>
      <c r="C106">
        <v>3</v>
      </c>
      <c r="D106">
        <v>1</v>
      </c>
      <c r="E106" t="str">
        <f>VLOOKUP(D106,[1]TEmplate!$E$38:$F$43,2,0)</f>
        <v>Hawthorn Red</v>
      </c>
      <c r="F106" t="s">
        <v>5</v>
      </c>
      <c r="G106">
        <v>5</v>
      </c>
      <c r="H106" t="str">
        <f>VLOOKUP(G106,[1]TEmplate!$E$38:$F$43,2,0)</f>
        <v>MCC Hockey Section</v>
      </c>
      <c r="I106" t="str">
        <f>VLOOKUP(D106,[1]TEmplate!$E$38:$G$43,3,0)</f>
        <v>HAW</v>
      </c>
      <c r="J106" s="4">
        <f>VLOOKUP(B106,[1]TEmplate!$AC$38:$AE$57,3,0)</f>
        <v>46253</v>
      </c>
    </row>
    <row r="107" spans="1:10" x14ac:dyDescent="0.3">
      <c r="A107" t="s">
        <v>11</v>
      </c>
      <c r="B107">
        <v>18</v>
      </c>
      <c r="C107">
        <v>1</v>
      </c>
      <c r="D107">
        <v>3</v>
      </c>
      <c r="E107" t="str">
        <f>VLOOKUP(D107,[1]TEmplate!$E$38:$F$43,2,0)</f>
        <v>Doncaster Hockey Club</v>
      </c>
      <c r="F107" t="s">
        <v>5</v>
      </c>
      <c r="G107">
        <v>2</v>
      </c>
      <c r="H107" t="str">
        <f>VLOOKUP(G107,[1]TEmplate!$E$38:$F$43,2,0)</f>
        <v>KBH Brumbies Hockey Club</v>
      </c>
      <c r="I107" t="str">
        <f>VLOOKUP(D107,[1]TEmplate!$E$38:$G$43,3,0)</f>
        <v>DON</v>
      </c>
      <c r="J107" s="4">
        <f>VLOOKUP(B107,[1]TEmplate!$AC$38:$AE$57,3,0)</f>
        <v>46260</v>
      </c>
    </row>
    <row r="108" spans="1:10" x14ac:dyDescent="0.3">
      <c r="A108" t="s">
        <v>11</v>
      </c>
      <c r="B108">
        <v>18</v>
      </c>
      <c r="C108">
        <v>2</v>
      </c>
      <c r="D108">
        <v>6</v>
      </c>
      <c r="E108" t="str">
        <f>VLOOKUP(D108,[1]TEmplate!$E$38:$F$43,2,0)</f>
        <v>Southern United Hockey Club</v>
      </c>
      <c r="F108" t="s">
        <v>5</v>
      </c>
      <c r="G108">
        <v>5</v>
      </c>
      <c r="H108" t="str">
        <f>VLOOKUP(G108,[1]TEmplate!$E$38:$F$43,2,0)</f>
        <v>MCC Hockey Section</v>
      </c>
      <c r="I108" t="str">
        <f>VLOOKUP(D108,[1]TEmplate!$E$38:$G$43,3,0)</f>
        <v>MBN</v>
      </c>
      <c r="J108" s="4">
        <f>VLOOKUP(B108,[1]TEmplate!$AC$38:$AE$57,3,0)</f>
        <v>46260</v>
      </c>
    </row>
    <row r="109" spans="1:10" x14ac:dyDescent="0.3">
      <c r="A109" t="s">
        <v>11</v>
      </c>
      <c r="B109">
        <v>18</v>
      </c>
      <c r="C109">
        <v>3</v>
      </c>
      <c r="D109">
        <v>4</v>
      </c>
      <c r="E109" t="str">
        <f>VLOOKUP(D109,[1]TEmplate!$E$38:$F$43,2,0)</f>
        <v>Mentone Hockey Club</v>
      </c>
      <c r="F109" t="s">
        <v>5</v>
      </c>
      <c r="G109">
        <v>1</v>
      </c>
      <c r="H109" t="str">
        <f>VLOOKUP(G109,[1]TEmplate!$E$38:$F$43,2,0)</f>
        <v>Hawthorn Red</v>
      </c>
      <c r="I109" t="str">
        <f>VLOOKUP(D109,[1]TEmplate!$E$38:$G$43,3,0)</f>
        <v>MNT</v>
      </c>
      <c r="J109" s="4">
        <f>VLOOKUP(B109,[1]TEmplate!$AC$38:$AE$57,3,0)</f>
        <v>46260</v>
      </c>
    </row>
    <row r="110" spans="1:10" x14ac:dyDescent="0.3">
      <c r="A110" t="s">
        <v>12</v>
      </c>
      <c r="B110">
        <v>1</v>
      </c>
      <c r="C110">
        <v>1</v>
      </c>
      <c r="D110">
        <v>2</v>
      </c>
      <c r="E110" t="str">
        <f>VLOOKUP(D110,[1]TEmplate!$I$38:$K$45,2,0)</f>
        <v>Hawthorn Blue</v>
      </c>
      <c r="F110" t="s">
        <v>5</v>
      </c>
      <c r="G110">
        <v>1</v>
      </c>
      <c r="H110" t="str">
        <f>VLOOKUP(G110,[1]TEmplate!$I$38:$K$45,2,0)</f>
        <v>PEGS Hockey Club</v>
      </c>
      <c r="I110" t="str">
        <f>VLOOKUP(D110,[1]TEmplate!$I$38:$K$45,3,0)</f>
        <v>HAW</v>
      </c>
      <c r="J110" s="4">
        <f>VLOOKUP(B110,[1]TEmplate!$AC$38:$AE$57,3,0)</f>
        <v>46127</v>
      </c>
    </row>
    <row r="111" spans="1:10" x14ac:dyDescent="0.3">
      <c r="A111" t="s">
        <v>12</v>
      </c>
      <c r="B111">
        <v>1</v>
      </c>
      <c r="C111">
        <v>2</v>
      </c>
      <c r="D111">
        <v>3</v>
      </c>
      <c r="E111" t="str">
        <f>VLOOKUP(D111,[1]TEmplate!$I$38:$K$45,2,0)</f>
        <v>Bye</v>
      </c>
      <c r="F111" t="s">
        <v>5</v>
      </c>
      <c r="G111">
        <v>7</v>
      </c>
      <c r="H111" t="str">
        <f>VLOOKUP(G111,[1]TEmplate!$I$38:$K$45,2,0)</f>
        <v>Bayside Powerhouse Saints Hockey Club</v>
      </c>
      <c r="I111">
        <f>VLOOKUP(D111,[1]TEmplate!$I$38:$K$45,3,0)</f>
        <v>0</v>
      </c>
      <c r="J111" s="4">
        <f>VLOOKUP(B111,[1]TEmplate!$AC$38:$AE$57,3,0)</f>
        <v>46127</v>
      </c>
    </row>
    <row r="112" spans="1:10" x14ac:dyDescent="0.3">
      <c r="A112" t="s">
        <v>12</v>
      </c>
      <c r="B112">
        <v>1</v>
      </c>
      <c r="C112">
        <v>3</v>
      </c>
      <c r="D112">
        <v>4</v>
      </c>
      <c r="E112" t="str">
        <f>VLOOKUP(D112,[1]TEmplate!$I$38:$K$45,2,0)</f>
        <v>Camberwell Hockey Club</v>
      </c>
      <c r="F112" t="s">
        <v>5</v>
      </c>
      <c r="G112">
        <v>6</v>
      </c>
      <c r="H112" t="str">
        <f>VLOOKUP(G112,[1]TEmplate!$I$38:$K$45,2,0)</f>
        <v>Brunswick Hockey Club 2</v>
      </c>
      <c r="I112" t="str">
        <f>VLOOKUP(D112,[1]TEmplate!$I$38:$K$45,3,0)</f>
        <v>CAM</v>
      </c>
      <c r="J112" s="4">
        <f>VLOOKUP(B112,[1]TEmplate!$AC$38:$AE$57,3,0)</f>
        <v>46127</v>
      </c>
    </row>
    <row r="113" spans="1:10" x14ac:dyDescent="0.3">
      <c r="A113" t="s">
        <v>12</v>
      </c>
      <c r="B113">
        <v>1</v>
      </c>
      <c r="C113">
        <v>4</v>
      </c>
      <c r="D113">
        <v>5</v>
      </c>
      <c r="E113" t="str">
        <f>VLOOKUP(D113,[1]TEmplate!$I$38:$K$45,2,0)</f>
        <v>MHSOB</v>
      </c>
      <c r="F113" t="s">
        <v>5</v>
      </c>
      <c r="G113">
        <v>8</v>
      </c>
      <c r="H113" t="str">
        <f>VLOOKUP(G113,[1]TEmplate!$I$38:$K$45,2,0)</f>
        <v>Knox</v>
      </c>
      <c r="I113" t="str">
        <f>VLOOKUP(D113,[1]TEmplate!$I$38:$K$45,3,0)</f>
        <v>MHS</v>
      </c>
      <c r="J113" s="4">
        <f>VLOOKUP(B113,[1]TEmplate!$AC$38:$AE$57,3,0)</f>
        <v>46127</v>
      </c>
    </row>
    <row r="114" spans="1:10" x14ac:dyDescent="0.3">
      <c r="A114" t="s">
        <v>12</v>
      </c>
      <c r="B114">
        <v>2</v>
      </c>
      <c r="C114">
        <v>1</v>
      </c>
      <c r="D114">
        <v>1</v>
      </c>
      <c r="E114" t="str">
        <f>VLOOKUP(D114,[1]TEmplate!$I$38:$K$45,2,0)</f>
        <v>PEGS Hockey Club</v>
      </c>
      <c r="F114" t="s">
        <v>5</v>
      </c>
      <c r="G114">
        <v>3</v>
      </c>
      <c r="H114" t="str">
        <f>VLOOKUP(G114,[1]TEmplate!$I$38:$K$45,2,0)</f>
        <v>Bye</v>
      </c>
      <c r="I114" t="str">
        <f>VLOOKUP(D114,[1]TEmplate!$I$38:$K$45,3,0)</f>
        <v>PEGS</v>
      </c>
      <c r="J114" s="4">
        <f>VLOOKUP(B114,[1]TEmplate!$AC$38:$AE$57,3,0)</f>
        <v>46134</v>
      </c>
    </row>
    <row r="115" spans="1:10" x14ac:dyDescent="0.3">
      <c r="A115" t="s">
        <v>12</v>
      </c>
      <c r="B115">
        <v>2</v>
      </c>
      <c r="C115">
        <v>2</v>
      </c>
      <c r="D115">
        <v>6</v>
      </c>
      <c r="E115" t="str">
        <f>VLOOKUP(D115,[1]TEmplate!$I$38:$K$45,2,0)</f>
        <v>Brunswick Hockey Club 2</v>
      </c>
      <c r="F115" t="s">
        <v>5</v>
      </c>
      <c r="G115">
        <v>5</v>
      </c>
      <c r="H115" t="str">
        <f>VLOOKUP(G115,[1]TEmplate!$I$38:$K$45,2,0)</f>
        <v>MHSOB</v>
      </c>
      <c r="I115" t="str">
        <f>VLOOKUP(D115,[1]TEmplate!$I$38:$K$45,3,0)</f>
        <v>BRU</v>
      </c>
      <c r="J115" s="4">
        <f>VLOOKUP(B115,[1]TEmplate!$AC$38:$AE$57,3,0)</f>
        <v>46134</v>
      </c>
    </row>
    <row r="116" spans="1:10" x14ac:dyDescent="0.3">
      <c r="A116" t="s">
        <v>12</v>
      </c>
      <c r="B116">
        <v>2</v>
      </c>
      <c r="C116">
        <v>3</v>
      </c>
      <c r="D116">
        <v>7</v>
      </c>
      <c r="E116" t="str">
        <f>VLOOKUP(D116,[1]TEmplate!$I$38:$K$45,2,0)</f>
        <v>Bayside Powerhouse Saints Hockey Club</v>
      </c>
      <c r="F116" t="s">
        <v>5</v>
      </c>
      <c r="G116">
        <v>4</v>
      </c>
      <c r="H116" t="str">
        <f>VLOOKUP(G116,[1]TEmplate!$I$38:$K$45,2,0)</f>
        <v>Camberwell Hockey Club</v>
      </c>
      <c r="I116" t="str">
        <f>VLOOKUP(D116,[1]TEmplate!$I$38:$K$45,3,0)</f>
        <v>APK</v>
      </c>
      <c r="J116" s="4">
        <f>VLOOKUP(B116,[1]TEmplate!$AC$38:$AE$57,3,0)</f>
        <v>46134</v>
      </c>
    </row>
    <row r="117" spans="1:10" x14ac:dyDescent="0.3">
      <c r="A117" t="s">
        <v>12</v>
      </c>
      <c r="B117">
        <v>2</v>
      </c>
      <c r="C117">
        <v>4</v>
      </c>
      <c r="D117">
        <v>8</v>
      </c>
      <c r="E117" t="str">
        <f>VLOOKUP(D117,[1]TEmplate!$I$38:$K$45,2,0)</f>
        <v>Knox</v>
      </c>
      <c r="F117" t="s">
        <v>5</v>
      </c>
      <c r="G117">
        <v>2</v>
      </c>
      <c r="H117" t="str">
        <f>VLOOKUP(G117,[1]TEmplate!$I$38:$K$45,2,0)</f>
        <v>Hawthorn Blue</v>
      </c>
      <c r="I117" t="str">
        <f>VLOOKUP(D117,[1]TEmplate!$I$38:$K$45,3,0)</f>
        <v>KNX</v>
      </c>
      <c r="J117" s="4">
        <f>VLOOKUP(B117,[1]TEmplate!$AC$38:$AE$57,3,0)</f>
        <v>46134</v>
      </c>
    </row>
    <row r="118" spans="1:10" x14ac:dyDescent="0.3">
      <c r="A118" t="s">
        <v>12</v>
      </c>
      <c r="B118">
        <v>3</v>
      </c>
      <c r="C118">
        <v>1</v>
      </c>
      <c r="D118">
        <v>3</v>
      </c>
      <c r="E118" t="str">
        <f>VLOOKUP(D118,[1]TEmplate!$I$38:$K$45,2,0)</f>
        <v>Bye</v>
      </c>
      <c r="F118" t="s">
        <v>5</v>
      </c>
      <c r="G118">
        <v>2</v>
      </c>
      <c r="H118" t="str">
        <f>VLOOKUP(G118,[1]TEmplate!$I$38:$K$45,2,0)</f>
        <v>Hawthorn Blue</v>
      </c>
      <c r="I118">
        <f>VLOOKUP(D118,[1]TEmplate!$I$38:$K$45,3,0)</f>
        <v>0</v>
      </c>
      <c r="J118" s="4">
        <f>VLOOKUP(B118,[1]TEmplate!$AC$38:$AE$57,3,0)</f>
        <v>46141</v>
      </c>
    </row>
    <row r="119" spans="1:10" x14ac:dyDescent="0.3">
      <c r="A119" t="s">
        <v>12</v>
      </c>
      <c r="B119">
        <v>3</v>
      </c>
      <c r="C119">
        <v>2</v>
      </c>
      <c r="D119">
        <v>4</v>
      </c>
      <c r="E119" t="str">
        <f>VLOOKUP(D119,[1]TEmplate!$I$38:$K$45,2,0)</f>
        <v>Camberwell Hockey Club</v>
      </c>
      <c r="F119" t="s">
        <v>5</v>
      </c>
      <c r="G119">
        <v>1</v>
      </c>
      <c r="H119" t="str">
        <f>VLOOKUP(G119,[1]TEmplate!$I$38:$K$45,2,0)</f>
        <v>PEGS Hockey Club</v>
      </c>
      <c r="I119" t="str">
        <f>VLOOKUP(D119,[1]TEmplate!$I$38:$K$45,3,0)</f>
        <v>CAM</v>
      </c>
      <c r="J119" s="4">
        <f>VLOOKUP(B119,[1]TEmplate!$AC$38:$AE$57,3,0)</f>
        <v>46141</v>
      </c>
    </row>
    <row r="120" spans="1:10" x14ac:dyDescent="0.3">
      <c r="A120" t="s">
        <v>12</v>
      </c>
      <c r="B120">
        <v>3</v>
      </c>
      <c r="C120">
        <v>3</v>
      </c>
      <c r="D120">
        <v>5</v>
      </c>
      <c r="E120" t="str">
        <f>VLOOKUP(D120,[1]TEmplate!$I$38:$K$45,2,0)</f>
        <v>MHSOB</v>
      </c>
      <c r="F120" t="s">
        <v>5</v>
      </c>
      <c r="G120">
        <v>7</v>
      </c>
      <c r="H120" t="str">
        <f>VLOOKUP(G120,[1]TEmplate!$I$38:$K$45,2,0)</f>
        <v>Bayside Powerhouse Saints Hockey Club</v>
      </c>
      <c r="I120" t="str">
        <f>VLOOKUP(D120,[1]TEmplate!$I$38:$K$45,3,0)</f>
        <v>MHS</v>
      </c>
      <c r="J120" s="4">
        <f>VLOOKUP(B120,[1]TEmplate!$AC$38:$AE$57,3,0)</f>
        <v>46141</v>
      </c>
    </row>
    <row r="121" spans="1:10" x14ac:dyDescent="0.3">
      <c r="A121" t="s">
        <v>12</v>
      </c>
      <c r="B121">
        <v>3</v>
      </c>
      <c r="C121">
        <v>4</v>
      </c>
      <c r="D121">
        <v>6</v>
      </c>
      <c r="E121" t="str">
        <f>VLOOKUP(D121,[1]TEmplate!$I$38:$K$45,2,0)</f>
        <v>Brunswick Hockey Club 2</v>
      </c>
      <c r="F121" t="s">
        <v>5</v>
      </c>
      <c r="G121">
        <v>8</v>
      </c>
      <c r="H121" t="str">
        <f>VLOOKUP(G121,[1]TEmplate!$I$38:$K$45,2,0)</f>
        <v>Knox</v>
      </c>
      <c r="I121" t="str">
        <f>VLOOKUP(D121,[1]TEmplate!$I$38:$K$45,3,0)</f>
        <v>BRU</v>
      </c>
      <c r="J121" s="4">
        <f>VLOOKUP(B121,[1]TEmplate!$AC$38:$AE$57,3,0)</f>
        <v>46141</v>
      </c>
    </row>
    <row r="122" spans="1:10" x14ac:dyDescent="0.3">
      <c r="A122" t="s">
        <v>12</v>
      </c>
      <c r="B122">
        <v>4</v>
      </c>
      <c r="C122">
        <v>1</v>
      </c>
      <c r="D122">
        <v>1</v>
      </c>
      <c r="E122" t="str">
        <f>VLOOKUP(D122,[1]TEmplate!$I$38:$K$45,2,0)</f>
        <v>PEGS Hockey Club</v>
      </c>
      <c r="F122" t="s">
        <v>5</v>
      </c>
      <c r="G122">
        <v>5</v>
      </c>
      <c r="H122" t="str">
        <f>VLOOKUP(G122,[1]TEmplate!$I$38:$K$45,2,0)</f>
        <v>MHSOB</v>
      </c>
      <c r="I122" t="str">
        <f>VLOOKUP(D122,[1]TEmplate!$I$38:$K$45,3,0)</f>
        <v>PEGS</v>
      </c>
      <c r="J122" s="4">
        <f>VLOOKUP(B122,[1]TEmplate!$AC$38:$AE$57,3,0)</f>
        <v>46148</v>
      </c>
    </row>
    <row r="123" spans="1:10" x14ac:dyDescent="0.3">
      <c r="A123" t="s">
        <v>12</v>
      </c>
      <c r="B123">
        <v>4</v>
      </c>
      <c r="C123">
        <v>2</v>
      </c>
      <c r="D123">
        <v>2</v>
      </c>
      <c r="E123" t="str">
        <f>VLOOKUP(D123,[1]TEmplate!$I$38:$K$45,2,0)</f>
        <v>Hawthorn Blue</v>
      </c>
      <c r="F123" t="s">
        <v>5</v>
      </c>
      <c r="G123">
        <v>4</v>
      </c>
      <c r="H123" t="str">
        <f>VLOOKUP(G123,[1]TEmplate!$I$38:$K$45,2,0)</f>
        <v>Camberwell Hockey Club</v>
      </c>
      <c r="I123" t="str">
        <f>VLOOKUP(D123,[1]TEmplate!$I$38:$K$45,3,0)</f>
        <v>HAW</v>
      </c>
      <c r="J123" s="4">
        <f>VLOOKUP(B123,[1]TEmplate!$AC$38:$AE$57,3,0)</f>
        <v>46148</v>
      </c>
    </row>
    <row r="124" spans="1:10" x14ac:dyDescent="0.3">
      <c r="A124" t="s">
        <v>12</v>
      </c>
      <c r="B124">
        <v>4</v>
      </c>
      <c r="C124">
        <v>3</v>
      </c>
      <c r="D124">
        <v>7</v>
      </c>
      <c r="E124" t="str">
        <f>VLOOKUP(D124,[1]TEmplate!$I$38:$K$45,2,0)</f>
        <v>Bayside Powerhouse Saints Hockey Club</v>
      </c>
      <c r="F124" t="s">
        <v>5</v>
      </c>
      <c r="G124">
        <v>6</v>
      </c>
      <c r="H124" t="str">
        <f>VLOOKUP(G124,[1]TEmplate!$I$38:$K$45,2,0)</f>
        <v>Brunswick Hockey Club 2</v>
      </c>
      <c r="I124" t="str">
        <f>VLOOKUP(D124,[1]TEmplate!$I$38:$K$45,3,0)</f>
        <v>APK</v>
      </c>
      <c r="J124" s="4">
        <f>VLOOKUP(B124,[1]TEmplate!$AC$38:$AE$57,3,0)</f>
        <v>46148</v>
      </c>
    </row>
    <row r="125" spans="1:10" x14ac:dyDescent="0.3">
      <c r="A125" t="s">
        <v>12</v>
      </c>
      <c r="B125">
        <v>4</v>
      </c>
      <c r="C125">
        <v>4</v>
      </c>
      <c r="D125">
        <v>8</v>
      </c>
      <c r="E125" t="str">
        <f>VLOOKUP(D125,[1]TEmplate!$I$38:$K$45,2,0)</f>
        <v>Knox</v>
      </c>
      <c r="F125" t="s">
        <v>5</v>
      </c>
      <c r="G125">
        <v>3</v>
      </c>
      <c r="H125" t="str">
        <f>VLOOKUP(G125,[1]TEmplate!$I$38:$K$45,2,0)</f>
        <v>Bye</v>
      </c>
      <c r="I125" t="str">
        <f>VLOOKUP(D125,[1]TEmplate!$I$38:$K$45,3,0)</f>
        <v>KNX</v>
      </c>
      <c r="J125" s="4">
        <f>VLOOKUP(B125,[1]TEmplate!$AC$38:$AE$57,3,0)</f>
        <v>46148</v>
      </c>
    </row>
    <row r="126" spans="1:10" x14ac:dyDescent="0.3">
      <c r="A126" t="s">
        <v>12</v>
      </c>
      <c r="B126">
        <v>5</v>
      </c>
      <c r="C126">
        <v>1</v>
      </c>
      <c r="D126">
        <v>4</v>
      </c>
      <c r="E126" t="str">
        <f>VLOOKUP(D126,[1]TEmplate!$I$38:$K$45,2,0)</f>
        <v>Camberwell Hockey Club</v>
      </c>
      <c r="F126" t="s">
        <v>5</v>
      </c>
      <c r="G126">
        <v>3</v>
      </c>
      <c r="H126" t="str">
        <f>VLOOKUP(G126,[1]TEmplate!$I$38:$K$45,2,0)</f>
        <v>Bye</v>
      </c>
      <c r="I126" t="str">
        <f>VLOOKUP(D126,[1]TEmplate!$I$38:$K$45,3,0)</f>
        <v>CAM</v>
      </c>
      <c r="J126" s="4">
        <f>VLOOKUP(B126,[1]TEmplate!$AC$38:$AE$57,3,0)</f>
        <v>46155</v>
      </c>
    </row>
    <row r="127" spans="1:10" x14ac:dyDescent="0.3">
      <c r="A127" t="s">
        <v>12</v>
      </c>
      <c r="B127">
        <v>5</v>
      </c>
      <c r="C127">
        <v>2</v>
      </c>
      <c r="D127">
        <v>5</v>
      </c>
      <c r="E127" t="str">
        <f>VLOOKUP(D127,[1]TEmplate!$I$38:$K$45,2,0)</f>
        <v>MHSOB</v>
      </c>
      <c r="F127" t="s">
        <v>5</v>
      </c>
      <c r="G127">
        <v>2</v>
      </c>
      <c r="H127" t="str">
        <f>VLOOKUP(G127,[1]TEmplate!$I$38:$K$45,2,0)</f>
        <v>Hawthorn Blue</v>
      </c>
      <c r="I127" t="str">
        <f>VLOOKUP(D127,[1]TEmplate!$I$38:$K$45,3,0)</f>
        <v>MHS</v>
      </c>
      <c r="J127" s="4">
        <f>VLOOKUP(B127,[1]TEmplate!$AC$38:$AE$57,3,0)</f>
        <v>46155</v>
      </c>
    </row>
    <row r="128" spans="1:10" x14ac:dyDescent="0.3">
      <c r="A128" t="s">
        <v>12</v>
      </c>
      <c r="B128">
        <v>5</v>
      </c>
      <c r="C128">
        <v>3</v>
      </c>
      <c r="D128">
        <v>6</v>
      </c>
      <c r="E128" t="str">
        <f>VLOOKUP(D128,[1]TEmplate!$I$38:$K$45,2,0)</f>
        <v>Brunswick Hockey Club 2</v>
      </c>
      <c r="F128" t="s">
        <v>5</v>
      </c>
      <c r="G128">
        <v>1</v>
      </c>
      <c r="H128" t="str">
        <f>VLOOKUP(G128,[1]TEmplate!$I$38:$K$45,2,0)</f>
        <v>PEGS Hockey Club</v>
      </c>
      <c r="I128" t="str">
        <f>VLOOKUP(D128,[1]TEmplate!$I$38:$K$45,3,0)</f>
        <v>BRU</v>
      </c>
      <c r="J128" s="4">
        <f>VLOOKUP(B128,[1]TEmplate!$AC$38:$AE$57,3,0)</f>
        <v>46155</v>
      </c>
    </row>
    <row r="129" spans="1:10" x14ac:dyDescent="0.3">
      <c r="A129" t="s">
        <v>12</v>
      </c>
      <c r="B129">
        <v>5</v>
      </c>
      <c r="C129">
        <v>4</v>
      </c>
      <c r="D129">
        <v>7</v>
      </c>
      <c r="E129" t="str">
        <f>VLOOKUP(D129,[1]TEmplate!$I$38:$K$45,2,0)</f>
        <v>Bayside Powerhouse Saints Hockey Club</v>
      </c>
      <c r="F129" t="s">
        <v>5</v>
      </c>
      <c r="G129">
        <v>8</v>
      </c>
      <c r="H129" t="str">
        <f>VLOOKUP(G129,[1]TEmplate!$I$38:$K$45,2,0)</f>
        <v>Knox</v>
      </c>
      <c r="I129" t="str">
        <f>VLOOKUP(D129,[1]TEmplate!$I$38:$K$45,3,0)</f>
        <v>APK</v>
      </c>
      <c r="J129" s="4">
        <f>VLOOKUP(B129,[1]TEmplate!$AC$38:$AE$57,3,0)</f>
        <v>46155</v>
      </c>
    </row>
    <row r="130" spans="1:10" x14ac:dyDescent="0.3">
      <c r="A130" t="s">
        <v>12</v>
      </c>
      <c r="B130">
        <v>6</v>
      </c>
      <c r="C130">
        <v>1</v>
      </c>
      <c r="D130">
        <v>1</v>
      </c>
      <c r="E130" t="str">
        <f>VLOOKUP(D130,[1]TEmplate!$I$38:$K$45,2,0)</f>
        <v>PEGS Hockey Club</v>
      </c>
      <c r="F130" t="s">
        <v>5</v>
      </c>
      <c r="G130">
        <v>7</v>
      </c>
      <c r="H130" t="str">
        <f>VLOOKUP(G130,[1]TEmplate!$I$38:$K$45,2,0)</f>
        <v>Bayside Powerhouse Saints Hockey Club</v>
      </c>
      <c r="I130" t="str">
        <f>VLOOKUP(D130,[1]TEmplate!$I$38:$K$45,3,0)</f>
        <v>PEGS</v>
      </c>
      <c r="J130" s="4">
        <f>VLOOKUP(B130,[1]TEmplate!$AC$38:$AE$57,3,0)</f>
        <v>46162</v>
      </c>
    </row>
    <row r="131" spans="1:10" x14ac:dyDescent="0.3">
      <c r="A131" t="s">
        <v>12</v>
      </c>
      <c r="B131">
        <v>6</v>
      </c>
      <c r="C131">
        <v>2</v>
      </c>
      <c r="D131">
        <v>2</v>
      </c>
      <c r="E131" t="str">
        <f>VLOOKUP(D131,[1]TEmplate!$I$38:$K$45,2,0)</f>
        <v>Hawthorn Blue</v>
      </c>
      <c r="F131" t="s">
        <v>5</v>
      </c>
      <c r="G131">
        <v>6</v>
      </c>
      <c r="H131" t="str">
        <f>VLOOKUP(G131,[1]TEmplate!$I$38:$K$45,2,0)</f>
        <v>Brunswick Hockey Club 2</v>
      </c>
      <c r="I131" t="str">
        <f>VLOOKUP(D131,[1]TEmplate!$I$38:$K$45,3,0)</f>
        <v>HAW</v>
      </c>
      <c r="J131" s="4">
        <f>VLOOKUP(B131,[1]TEmplate!$AC$38:$AE$57,3,0)</f>
        <v>46162</v>
      </c>
    </row>
    <row r="132" spans="1:10" x14ac:dyDescent="0.3">
      <c r="A132" t="s">
        <v>12</v>
      </c>
      <c r="B132">
        <v>6</v>
      </c>
      <c r="C132">
        <v>3</v>
      </c>
      <c r="D132">
        <v>3</v>
      </c>
      <c r="E132" t="str">
        <f>VLOOKUP(D132,[1]TEmplate!$I$38:$K$45,2,0)</f>
        <v>Bye</v>
      </c>
      <c r="F132" t="s">
        <v>5</v>
      </c>
      <c r="G132">
        <v>5</v>
      </c>
      <c r="H132" t="str">
        <f>VLOOKUP(G132,[1]TEmplate!$I$38:$K$45,2,0)</f>
        <v>MHSOB</v>
      </c>
      <c r="I132">
        <f>VLOOKUP(D132,[1]TEmplate!$I$38:$K$45,3,0)</f>
        <v>0</v>
      </c>
      <c r="J132" s="4">
        <f>VLOOKUP(B132,[1]TEmplate!$AC$38:$AE$57,3,0)</f>
        <v>46162</v>
      </c>
    </row>
    <row r="133" spans="1:10" x14ac:dyDescent="0.3">
      <c r="A133" t="s">
        <v>12</v>
      </c>
      <c r="B133">
        <v>6</v>
      </c>
      <c r="C133">
        <v>4</v>
      </c>
      <c r="D133">
        <v>4</v>
      </c>
      <c r="E133" t="str">
        <f>VLOOKUP(D133,[1]TEmplate!$I$38:$K$45,2,0)</f>
        <v>Camberwell Hockey Club</v>
      </c>
      <c r="F133" t="s">
        <v>5</v>
      </c>
      <c r="G133">
        <v>8</v>
      </c>
      <c r="H133" t="str">
        <f>VLOOKUP(G133,[1]TEmplate!$I$38:$K$45,2,0)</f>
        <v>Knox</v>
      </c>
      <c r="I133" t="str">
        <f>VLOOKUP(D133,[1]TEmplate!$I$38:$K$45,3,0)</f>
        <v>CAM</v>
      </c>
      <c r="J133" s="4">
        <f>VLOOKUP(B133,[1]TEmplate!$AC$38:$AE$57,3,0)</f>
        <v>46162</v>
      </c>
    </row>
    <row r="134" spans="1:10" x14ac:dyDescent="0.3">
      <c r="A134" t="s">
        <v>12</v>
      </c>
      <c r="B134">
        <v>7</v>
      </c>
      <c r="C134">
        <v>1</v>
      </c>
      <c r="D134">
        <v>5</v>
      </c>
      <c r="E134" t="str">
        <f>VLOOKUP(D134,[1]TEmplate!$I$38:$K$45,2,0)</f>
        <v>MHSOB</v>
      </c>
      <c r="F134" t="s">
        <v>5</v>
      </c>
      <c r="G134">
        <v>4</v>
      </c>
      <c r="H134" t="str">
        <f>VLOOKUP(G134,[1]TEmplate!$I$38:$K$45,2,0)</f>
        <v>Camberwell Hockey Club</v>
      </c>
      <c r="I134" t="str">
        <f>VLOOKUP(D134,[1]TEmplate!$I$38:$K$45,3,0)</f>
        <v>MHS</v>
      </c>
      <c r="J134" s="4">
        <f>VLOOKUP(B134,[1]TEmplate!$AC$38:$AE$57,3,0)</f>
        <v>46169</v>
      </c>
    </row>
    <row r="135" spans="1:10" x14ac:dyDescent="0.3">
      <c r="A135" t="s">
        <v>12</v>
      </c>
      <c r="B135">
        <v>7</v>
      </c>
      <c r="C135">
        <v>2</v>
      </c>
      <c r="D135">
        <v>6</v>
      </c>
      <c r="E135" t="str">
        <f>VLOOKUP(D135,[1]TEmplate!$I$38:$K$45,2,0)</f>
        <v>Brunswick Hockey Club 2</v>
      </c>
      <c r="F135" t="s">
        <v>5</v>
      </c>
      <c r="G135">
        <v>3</v>
      </c>
      <c r="H135" t="str">
        <f>VLOOKUP(G135,[1]TEmplate!$I$38:$K$45,2,0)</f>
        <v>Bye</v>
      </c>
      <c r="I135" t="str">
        <f>VLOOKUP(D135,[1]TEmplate!$I$38:$K$45,3,0)</f>
        <v>BRU</v>
      </c>
      <c r="J135" s="4">
        <f>VLOOKUP(B135,[1]TEmplate!$AC$38:$AE$57,3,0)</f>
        <v>46169</v>
      </c>
    </row>
    <row r="136" spans="1:10" x14ac:dyDescent="0.3">
      <c r="A136" t="s">
        <v>12</v>
      </c>
      <c r="B136">
        <v>7</v>
      </c>
      <c r="C136">
        <v>3</v>
      </c>
      <c r="D136">
        <v>7</v>
      </c>
      <c r="E136" t="str">
        <f>VLOOKUP(D136,[1]TEmplate!$I$38:$K$45,2,0)</f>
        <v>Bayside Powerhouse Saints Hockey Club</v>
      </c>
      <c r="F136" t="s">
        <v>5</v>
      </c>
      <c r="G136">
        <v>2</v>
      </c>
      <c r="H136" t="str">
        <f>VLOOKUP(G136,[1]TEmplate!$I$38:$K$45,2,0)</f>
        <v>Hawthorn Blue</v>
      </c>
      <c r="I136" t="str">
        <f>VLOOKUP(D136,[1]TEmplate!$I$38:$K$45,3,0)</f>
        <v>APK</v>
      </c>
      <c r="J136" s="4">
        <f>VLOOKUP(B136,[1]TEmplate!$AC$38:$AE$57,3,0)</f>
        <v>46169</v>
      </c>
    </row>
    <row r="137" spans="1:10" x14ac:dyDescent="0.3">
      <c r="A137" t="s">
        <v>12</v>
      </c>
      <c r="B137">
        <v>7</v>
      </c>
      <c r="C137">
        <v>4</v>
      </c>
      <c r="D137">
        <v>8</v>
      </c>
      <c r="E137" t="str">
        <f>VLOOKUP(D137,[1]TEmplate!$I$38:$K$45,2,0)</f>
        <v>Knox</v>
      </c>
      <c r="F137" t="s">
        <v>5</v>
      </c>
      <c r="G137">
        <v>1</v>
      </c>
      <c r="H137" t="str">
        <f>VLOOKUP(G137,[1]TEmplate!$I$38:$K$45,2,0)</f>
        <v>PEGS Hockey Club</v>
      </c>
      <c r="I137" t="str">
        <f>VLOOKUP(D137,[1]TEmplate!$I$38:$K$45,3,0)</f>
        <v>KNX</v>
      </c>
      <c r="J137" s="4">
        <f>VLOOKUP(B137,[1]TEmplate!$AC$38:$AE$57,3,0)</f>
        <v>46169</v>
      </c>
    </row>
    <row r="138" spans="1:10" x14ac:dyDescent="0.3">
      <c r="A138" t="s">
        <v>12</v>
      </c>
      <c r="B138">
        <v>8</v>
      </c>
      <c r="C138">
        <v>1</v>
      </c>
      <c r="D138">
        <v>1</v>
      </c>
      <c r="E138" t="str">
        <f>VLOOKUP(D138,[1]TEmplate!$I$38:$K$45,2,0)</f>
        <v>PEGS Hockey Club</v>
      </c>
      <c r="F138" t="s">
        <v>5</v>
      </c>
      <c r="G138">
        <v>2</v>
      </c>
      <c r="H138" t="str">
        <f>VLOOKUP(G138,[1]TEmplate!$I$38:$K$45,2,0)</f>
        <v>Hawthorn Blue</v>
      </c>
      <c r="I138" t="str">
        <f>VLOOKUP(D138,[1]TEmplate!$I$38:$K$45,3,0)</f>
        <v>PEGS</v>
      </c>
      <c r="J138" s="4">
        <f>VLOOKUP(B138,[1]TEmplate!$AC$38:$AE$57,3,0)</f>
        <v>46176</v>
      </c>
    </row>
    <row r="139" spans="1:10" x14ac:dyDescent="0.3">
      <c r="A139" t="s">
        <v>12</v>
      </c>
      <c r="B139">
        <v>8</v>
      </c>
      <c r="C139">
        <v>2</v>
      </c>
      <c r="D139">
        <v>7</v>
      </c>
      <c r="E139" t="str">
        <f>VLOOKUP(D139,[1]TEmplate!$I$38:$K$45,2,0)</f>
        <v>Bayside Powerhouse Saints Hockey Club</v>
      </c>
      <c r="F139" t="s">
        <v>5</v>
      </c>
      <c r="G139">
        <v>3</v>
      </c>
      <c r="H139" t="str">
        <f>VLOOKUP(G139,[1]TEmplate!$I$38:$K$45,2,0)</f>
        <v>Bye</v>
      </c>
      <c r="I139" t="str">
        <f>VLOOKUP(D139,[1]TEmplate!$I$38:$K$45,3,0)</f>
        <v>APK</v>
      </c>
      <c r="J139" s="4">
        <f>VLOOKUP(B139,[1]TEmplate!$AC$38:$AE$57,3,0)</f>
        <v>46176</v>
      </c>
    </row>
    <row r="140" spans="1:10" x14ac:dyDescent="0.3">
      <c r="A140" t="s">
        <v>12</v>
      </c>
      <c r="B140">
        <v>8</v>
      </c>
      <c r="C140">
        <v>3</v>
      </c>
      <c r="D140">
        <v>6</v>
      </c>
      <c r="E140" t="str">
        <f>VLOOKUP(D140,[1]TEmplate!$I$38:$K$45,2,0)</f>
        <v>Brunswick Hockey Club 2</v>
      </c>
      <c r="F140" t="s">
        <v>5</v>
      </c>
      <c r="G140">
        <v>4</v>
      </c>
      <c r="H140" t="str">
        <f>VLOOKUP(G140,[1]TEmplate!$I$38:$K$45,2,0)</f>
        <v>Camberwell Hockey Club</v>
      </c>
      <c r="I140" t="str">
        <f>VLOOKUP(D140,[1]TEmplate!$I$38:$K$45,3,0)</f>
        <v>BRU</v>
      </c>
      <c r="J140" s="4">
        <f>VLOOKUP(B140,[1]TEmplate!$AC$38:$AE$57,3,0)</f>
        <v>46176</v>
      </c>
    </row>
    <row r="141" spans="1:10" x14ac:dyDescent="0.3">
      <c r="A141" t="s">
        <v>12</v>
      </c>
      <c r="B141">
        <v>8</v>
      </c>
      <c r="C141">
        <v>4</v>
      </c>
      <c r="D141">
        <v>8</v>
      </c>
      <c r="E141" t="str">
        <f>VLOOKUP(D141,[1]TEmplate!$I$38:$K$45,2,0)</f>
        <v>Knox</v>
      </c>
      <c r="F141" t="s">
        <v>5</v>
      </c>
      <c r="G141">
        <v>5</v>
      </c>
      <c r="H141" t="str">
        <f>VLOOKUP(G141,[1]TEmplate!$I$38:$K$45,2,0)</f>
        <v>MHSOB</v>
      </c>
      <c r="I141" t="str">
        <f>VLOOKUP(D141,[1]TEmplate!$I$38:$K$45,3,0)</f>
        <v>KNX</v>
      </c>
      <c r="J141" s="4">
        <f>VLOOKUP(B141,[1]TEmplate!$AC$38:$AE$57,3,0)</f>
        <v>46176</v>
      </c>
    </row>
    <row r="142" spans="1:10" x14ac:dyDescent="0.3">
      <c r="A142" t="s">
        <v>12</v>
      </c>
      <c r="B142">
        <v>9</v>
      </c>
      <c r="C142">
        <v>1</v>
      </c>
      <c r="D142">
        <v>3</v>
      </c>
      <c r="E142" t="str">
        <f>VLOOKUP(D142,[1]TEmplate!$I$38:$K$45,2,0)</f>
        <v>Bye</v>
      </c>
      <c r="F142" t="s">
        <v>5</v>
      </c>
      <c r="G142">
        <v>1</v>
      </c>
      <c r="H142" t="str">
        <f>VLOOKUP(G142,[1]TEmplate!$I$38:$K$45,2,0)</f>
        <v>PEGS Hockey Club</v>
      </c>
      <c r="I142">
        <f>VLOOKUP(D142,[1]TEmplate!$I$38:$K$45,3,0)</f>
        <v>0</v>
      </c>
      <c r="J142" s="4">
        <f>VLOOKUP(B142,[1]TEmplate!$AC$38:$AE$57,3,0)</f>
        <v>46190</v>
      </c>
    </row>
    <row r="143" spans="1:10" x14ac:dyDescent="0.3">
      <c r="A143" t="s">
        <v>12</v>
      </c>
      <c r="B143">
        <v>9</v>
      </c>
      <c r="C143">
        <v>2</v>
      </c>
      <c r="D143">
        <v>5</v>
      </c>
      <c r="E143" t="str">
        <f>VLOOKUP(D143,[1]TEmplate!$I$38:$K$45,2,0)</f>
        <v>MHSOB</v>
      </c>
      <c r="F143" t="s">
        <v>5</v>
      </c>
      <c r="G143">
        <v>6</v>
      </c>
      <c r="H143" t="str">
        <f>VLOOKUP(G143,[1]TEmplate!$I$38:$K$45,2,0)</f>
        <v>Brunswick Hockey Club 2</v>
      </c>
      <c r="I143" t="str">
        <f>VLOOKUP(D143,[1]TEmplate!$I$38:$K$45,3,0)</f>
        <v>MHS</v>
      </c>
      <c r="J143" s="4">
        <f>VLOOKUP(B143,[1]TEmplate!$AC$38:$AE$57,3,0)</f>
        <v>46190</v>
      </c>
    </row>
    <row r="144" spans="1:10" x14ac:dyDescent="0.3">
      <c r="A144" t="s">
        <v>12</v>
      </c>
      <c r="B144">
        <v>9</v>
      </c>
      <c r="C144">
        <v>3</v>
      </c>
      <c r="D144">
        <v>4</v>
      </c>
      <c r="E144" t="str">
        <f>VLOOKUP(D144,[1]TEmplate!$I$38:$K$45,2,0)</f>
        <v>Camberwell Hockey Club</v>
      </c>
      <c r="F144" t="s">
        <v>5</v>
      </c>
      <c r="G144">
        <v>7</v>
      </c>
      <c r="H144" t="str">
        <f>VLOOKUP(G144,[1]TEmplate!$I$38:$K$45,2,0)</f>
        <v>Bayside Powerhouse Saints Hockey Club</v>
      </c>
      <c r="I144" t="str">
        <f>VLOOKUP(D144,[1]TEmplate!$I$38:$K$45,3,0)</f>
        <v>CAM</v>
      </c>
      <c r="J144" s="4">
        <f>VLOOKUP(B144,[1]TEmplate!$AC$38:$AE$57,3,0)</f>
        <v>46190</v>
      </c>
    </row>
    <row r="145" spans="1:10" x14ac:dyDescent="0.3">
      <c r="A145" t="s">
        <v>12</v>
      </c>
      <c r="B145">
        <v>9</v>
      </c>
      <c r="C145">
        <v>4</v>
      </c>
      <c r="D145">
        <v>2</v>
      </c>
      <c r="E145" t="str">
        <f>VLOOKUP(D145,[1]TEmplate!$I$38:$K$45,2,0)</f>
        <v>Hawthorn Blue</v>
      </c>
      <c r="F145" t="s">
        <v>5</v>
      </c>
      <c r="G145">
        <v>8</v>
      </c>
      <c r="H145" t="str">
        <f>VLOOKUP(G145,[1]TEmplate!$I$38:$K$45,2,0)</f>
        <v>Knox</v>
      </c>
      <c r="I145" t="str">
        <f>VLOOKUP(D145,[1]TEmplate!$I$38:$K$45,3,0)</f>
        <v>HAW</v>
      </c>
      <c r="J145" s="4">
        <f>VLOOKUP(B145,[1]TEmplate!$AC$38:$AE$57,3,0)</f>
        <v>46190</v>
      </c>
    </row>
    <row r="146" spans="1:10" x14ac:dyDescent="0.3">
      <c r="A146" t="s">
        <v>12</v>
      </c>
      <c r="B146">
        <v>10</v>
      </c>
      <c r="C146">
        <v>1</v>
      </c>
      <c r="D146">
        <v>2</v>
      </c>
      <c r="E146" t="str">
        <f>VLOOKUP(D146,[1]TEmplate!$I$38:$K$45,2,0)</f>
        <v>Hawthorn Blue</v>
      </c>
      <c r="F146" t="s">
        <v>5</v>
      </c>
      <c r="G146">
        <v>3</v>
      </c>
      <c r="H146" t="str">
        <f>VLOOKUP(G146,[1]TEmplate!$I$38:$K$45,2,0)</f>
        <v>Bye</v>
      </c>
      <c r="I146" t="str">
        <f>VLOOKUP(D146,[1]TEmplate!$I$38:$K$45,3,0)</f>
        <v>HAW</v>
      </c>
      <c r="J146" s="4">
        <f>VLOOKUP(B146,[1]TEmplate!$AC$38:$AE$57,3,0)</f>
        <v>46197</v>
      </c>
    </row>
    <row r="147" spans="1:10" x14ac:dyDescent="0.3">
      <c r="A147" t="s">
        <v>12</v>
      </c>
      <c r="B147">
        <v>10</v>
      </c>
      <c r="C147">
        <v>2</v>
      </c>
      <c r="D147">
        <v>1</v>
      </c>
      <c r="E147" t="str">
        <f>VLOOKUP(D147,[1]TEmplate!$I$38:$K$45,2,0)</f>
        <v>PEGS Hockey Club</v>
      </c>
      <c r="F147" t="s">
        <v>5</v>
      </c>
      <c r="G147">
        <v>4</v>
      </c>
      <c r="H147" t="str">
        <f>VLOOKUP(G147,[1]TEmplate!$I$38:$K$45,2,0)</f>
        <v>Camberwell Hockey Club</v>
      </c>
      <c r="I147" t="str">
        <f>VLOOKUP(D147,[1]TEmplate!$I$38:$K$45,3,0)</f>
        <v>PEGS</v>
      </c>
      <c r="J147" s="4">
        <f>VLOOKUP(B147,[1]TEmplate!$AC$38:$AE$57,3,0)</f>
        <v>46197</v>
      </c>
    </row>
    <row r="148" spans="1:10" x14ac:dyDescent="0.3">
      <c r="A148" t="s">
        <v>12</v>
      </c>
      <c r="B148">
        <v>10</v>
      </c>
      <c r="C148">
        <v>3</v>
      </c>
      <c r="D148">
        <v>7</v>
      </c>
      <c r="E148" t="str">
        <f>VLOOKUP(D148,[1]TEmplate!$I$38:$K$45,2,0)</f>
        <v>Bayside Powerhouse Saints Hockey Club</v>
      </c>
      <c r="F148" t="s">
        <v>5</v>
      </c>
      <c r="G148">
        <v>5</v>
      </c>
      <c r="H148" t="str">
        <f>VLOOKUP(G148,[1]TEmplate!$I$38:$K$45,2,0)</f>
        <v>MHSOB</v>
      </c>
      <c r="I148" t="str">
        <f>VLOOKUP(D148,[1]TEmplate!$I$38:$K$45,3,0)</f>
        <v>APK</v>
      </c>
      <c r="J148" s="4">
        <f>VLOOKUP(B148,[1]TEmplate!$AC$38:$AE$57,3,0)</f>
        <v>46197</v>
      </c>
    </row>
    <row r="149" spans="1:10" x14ac:dyDescent="0.3">
      <c r="A149" t="s">
        <v>12</v>
      </c>
      <c r="B149">
        <v>10</v>
      </c>
      <c r="C149">
        <v>4</v>
      </c>
      <c r="D149">
        <v>8</v>
      </c>
      <c r="E149" t="str">
        <f>VLOOKUP(D149,[1]TEmplate!$I$38:$K$45,2,0)</f>
        <v>Knox</v>
      </c>
      <c r="F149" t="s">
        <v>5</v>
      </c>
      <c r="G149">
        <v>6</v>
      </c>
      <c r="H149" t="str">
        <f>VLOOKUP(G149,[1]TEmplate!$I$38:$K$45,2,0)</f>
        <v>Brunswick Hockey Club 2</v>
      </c>
      <c r="I149" t="str">
        <f>VLOOKUP(D149,[1]TEmplate!$I$38:$K$45,3,0)</f>
        <v>KNX</v>
      </c>
      <c r="J149" s="4">
        <f>VLOOKUP(B149,[1]TEmplate!$AC$38:$AE$57,3,0)</f>
        <v>46197</v>
      </c>
    </row>
    <row r="150" spans="1:10" x14ac:dyDescent="0.3">
      <c r="A150" t="s">
        <v>12</v>
      </c>
      <c r="B150">
        <v>11</v>
      </c>
      <c r="C150">
        <v>1</v>
      </c>
      <c r="D150">
        <v>5</v>
      </c>
      <c r="E150" t="str">
        <f>VLOOKUP(D150,[1]TEmplate!$I$38:$K$45,2,0)</f>
        <v>MHSOB</v>
      </c>
      <c r="F150" t="s">
        <v>5</v>
      </c>
      <c r="G150">
        <v>1</v>
      </c>
      <c r="H150" t="str">
        <f>VLOOKUP(G150,[1]TEmplate!$I$38:$K$45,2,0)</f>
        <v>PEGS Hockey Club</v>
      </c>
      <c r="I150" t="str">
        <f>VLOOKUP(D150,[1]TEmplate!$I$38:$K$45,3,0)</f>
        <v>MHS</v>
      </c>
      <c r="J150" s="4">
        <f>VLOOKUP(B150,[1]TEmplate!$AC$38:$AE$57,3,0)</f>
        <v>46204</v>
      </c>
    </row>
    <row r="151" spans="1:10" x14ac:dyDescent="0.3">
      <c r="A151" t="s">
        <v>12</v>
      </c>
      <c r="B151">
        <v>11</v>
      </c>
      <c r="C151">
        <v>2</v>
      </c>
      <c r="D151">
        <v>4</v>
      </c>
      <c r="E151" t="str">
        <f>VLOOKUP(D151,[1]TEmplate!$I$38:$K$45,2,0)</f>
        <v>Camberwell Hockey Club</v>
      </c>
      <c r="F151" t="s">
        <v>5</v>
      </c>
      <c r="G151">
        <v>2</v>
      </c>
      <c r="H151" t="str">
        <f>VLOOKUP(G151,[1]TEmplate!$I$38:$K$45,2,0)</f>
        <v>Hawthorn Blue</v>
      </c>
      <c r="I151" t="str">
        <f>VLOOKUP(D151,[1]TEmplate!$I$38:$K$45,3,0)</f>
        <v>CAM</v>
      </c>
      <c r="J151" s="4">
        <f>VLOOKUP(B151,[1]TEmplate!$AC$38:$AE$57,3,0)</f>
        <v>46204</v>
      </c>
    </row>
    <row r="152" spans="1:10" x14ac:dyDescent="0.3">
      <c r="A152" t="s">
        <v>12</v>
      </c>
      <c r="B152">
        <v>11</v>
      </c>
      <c r="C152">
        <v>3</v>
      </c>
      <c r="D152">
        <v>6</v>
      </c>
      <c r="E152" t="str">
        <f>VLOOKUP(D152,[1]TEmplate!$I$38:$K$45,2,0)</f>
        <v>Brunswick Hockey Club 2</v>
      </c>
      <c r="F152" t="s">
        <v>5</v>
      </c>
      <c r="G152">
        <v>7</v>
      </c>
      <c r="H152" t="str">
        <f>VLOOKUP(G152,[1]TEmplate!$I$38:$K$45,2,0)</f>
        <v>Bayside Powerhouse Saints Hockey Club</v>
      </c>
      <c r="I152" t="str">
        <f>VLOOKUP(D152,[1]TEmplate!$I$38:$K$45,3,0)</f>
        <v>BRU</v>
      </c>
      <c r="J152" s="4">
        <f>VLOOKUP(B152,[1]TEmplate!$AC$38:$AE$57,3,0)</f>
        <v>46204</v>
      </c>
    </row>
    <row r="153" spans="1:10" x14ac:dyDescent="0.3">
      <c r="A153" t="s">
        <v>12</v>
      </c>
      <c r="B153">
        <v>11</v>
      </c>
      <c r="C153">
        <v>4</v>
      </c>
      <c r="D153">
        <v>3</v>
      </c>
      <c r="E153" t="str">
        <f>VLOOKUP(D153,[1]TEmplate!$I$38:$K$45,2,0)</f>
        <v>Bye</v>
      </c>
      <c r="F153" t="s">
        <v>5</v>
      </c>
      <c r="G153">
        <v>8</v>
      </c>
      <c r="H153" t="str">
        <f>VLOOKUP(G153,[1]TEmplate!$I$38:$K$45,2,0)</f>
        <v>Knox</v>
      </c>
      <c r="I153">
        <f>VLOOKUP(D153,[1]TEmplate!$I$38:$K$45,3,0)</f>
        <v>0</v>
      </c>
      <c r="J153" s="4">
        <f>VLOOKUP(B153,[1]TEmplate!$AC$38:$AE$57,3,0)</f>
        <v>46204</v>
      </c>
    </row>
    <row r="154" spans="1:10" x14ac:dyDescent="0.3">
      <c r="A154" t="s">
        <v>12</v>
      </c>
      <c r="B154">
        <v>12</v>
      </c>
      <c r="C154">
        <v>1</v>
      </c>
      <c r="D154">
        <v>3</v>
      </c>
      <c r="E154" t="str">
        <f>VLOOKUP(D154,[1]TEmplate!$I$38:$K$45,2,0)</f>
        <v>Bye</v>
      </c>
      <c r="F154" t="s">
        <v>5</v>
      </c>
      <c r="G154">
        <v>4</v>
      </c>
      <c r="H154" t="str">
        <f>VLOOKUP(G154,[1]TEmplate!$I$38:$K$45,2,0)</f>
        <v>Camberwell Hockey Club</v>
      </c>
      <c r="I154">
        <f>VLOOKUP(D154,[1]TEmplate!$I$38:$K$45,3,0)</f>
        <v>0</v>
      </c>
      <c r="J154" s="4">
        <f>VLOOKUP(B154,[1]TEmplate!$AC$38:$AE$57,3,0)</f>
        <v>46218</v>
      </c>
    </row>
    <row r="155" spans="1:10" x14ac:dyDescent="0.3">
      <c r="A155" t="s">
        <v>12</v>
      </c>
      <c r="B155">
        <v>12</v>
      </c>
      <c r="C155">
        <v>2</v>
      </c>
      <c r="D155">
        <v>2</v>
      </c>
      <c r="E155" t="str">
        <f>VLOOKUP(D155,[1]TEmplate!$I$38:$K$45,2,0)</f>
        <v>Hawthorn Blue</v>
      </c>
      <c r="F155" t="s">
        <v>5</v>
      </c>
      <c r="G155">
        <v>5</v>
      </c>
      <c r="H155" t="str">
        <f>VLOOKUP(G155,[1]TEmplate!$I$38:$K$45,2,0)</f>
        <v>MHSOB</v>
      </c>
      <c r="I155" t="str">
        <f>VLOOKUP(D155,[1]TEmplate!$I$38:$K$45,3,0)</f>
        <v>HAW</v>
      </c>
      <c r="J155" s="4">
        <f>VLOOKUP(B155,[1]TEmplate!$AC$38:$AE$57,3,0)</f>
        <v>46218</v>
      </c>
    </row>
    <row r="156" spans="1:10" x14ac:dyDescent="0.3">
      <c r="A156" t="s">
        <v>12</v>
      </c>
      <c r="B156">
        <v>12</v>
      </c>
      <c r="C156">
        <v>3</v>
      </c>
      <c r="D156">
        <v>1</v>
      </c>
      <c r="E156" t="str">
        <f>VLOOKUP(D156,[1]TEmplate!$I$38:$K$45,2,0)</f>
        <v>PEGS Hockey Club</v>
      </c>
      <c r="F156" t="s">
        <v>5</v>
      </c>
      <c r="G156">
        <v>6</v>
      </c>
      <c r="H156" t="str">
        <f>VLOOKUP(G156,[1]TEmplate!$I$38:$K$45,2,0)</f>
        <v>Brunswick Hockey Club 2</v>
      </c>
      <c r="I156" t="str">
        <f>VLOOKUP(D156,[1]TEmplate!$I$38:$K$45,3,0)</f>
        <v>PEGS</v>
      </c>
      <c r="J156" s="4">
        <f>VLOOKUP(B156,[1]TEmplate!$AC$38:$AE$57,3,0)</f>
        <v>46218</v>
      </c>
    </row>
    <row r="157" spans="1:10" x14ac:dyDescent="0.3">
      <c r="A157" t="s">
        <v>12</v>
      </c>
      <c r="B157">
        <v>12</v>
      </c>
      <c r="C157">
        <v>4</v>
      </c>
      <c r="D157">
        <v>8</v>
      </c>
      <c r="E157" t="str">
        <f>VLOOKUP(D157,[1]TEmplate!$I$38:$K$45,2,0)</f>
        <v>Knox</v>
      </c>
      <c r="F157" t="s">
        <v>5</v>
      </c>
      <c r="G157">
        <v>7</v>
      </c>
      <c r="H157" t="str">
        <f>VLOOKUP(G157,[1]TEmplate!$I$38:$K$45,2,0)</f>
        <v>Bayside Powerhouse Saints Hockey Club</v>
      </c>
      <c r="I157" t="str">
        <f>VLOOKUP(D157,[1]TEmplate!$I$38:$K$45,3,0)</f>
        <v>KNX</v>
      </c>
      <c r="J157" s="4">
        <f>VLOOKUP(B157,[1]TEmplate!$AC$38:$AE$57,3,0)</f>
        <v>46218</v>
      </c>
    </row>
    <row r="158" spans="1:10" x14ac:dyDescent="0.3">
      <c r="A158" t="s">
        <v>12</v>
      </c>
      <c r="B158">
        <v>13</v>
      </c>
      <c r="C158">
        <v>1</v>
      </c>
      <c r="D158">
        <v>7</v>
      </c>
      <c r="E158" t="str">
        <f>VLOOKUP(D158,[1]TEmplate!$I$38:$K$45,2,0)</f>
        <v>Bayside Powerhouse Saints Hockey Club</v>
      </c>
      <c r="F158" t="s">
        <v>5</v>
      </c>
      <c r="G158">
        <v>1</v>
      </c>
      <c r="H158" t="str">
        <f>VLOOKUP(G158,[1]TEmplate!$I$38:$K$45,2,0)</f>
        <v>PEGS Hockey Club</v>
      </c>
      <c r="I158" t="str">
        <f>VLOOKUP(D158,[1]TEmplate!$I$38:$K$45,3,0)</f>
        <v>APK</v>
      </c>
      <c r="J158" s="4">
        <f>VLOOKUP(B158,[1]TEmplate!$AC$38:$AE$57,3,0)</f>
        <v>46225</v>
      </c>
    </row>
    <row r="159" spans="1:10" x14ac:dyDescent="0.3">
      <c r="A159" t="s">
        <v>12</v>
      </c>
      <c r="B159">
        <v>13</v>
      </c>
      <c r="C159">
        <v>2</v>
      </c>
      <c r="D159">
        <v>6</v>
      </c>
      <c r="E159" t="str">
        <f>VLOOKUP(D159,[1]TEmplate!$I$38:$K$45,2,0)</f>
        <v>Brunswick Hockey Club 2</v>
      </c>
      <c r="F159" t="s">
        <v>5</v>
      </c>
      <c r="G159">
        <v>2</v>
      </c>
      <c r="H159" t="str">
        <f>VLOOKUP(G159,[1]TEmplate!$I$38:$K$45,2,0)</f>
        <v>Hawthorn Blue</v>
      </c>
      <c r="I159" t="str">
        <f>VLOOKUP(D159,[1]TEmplate!$I$38:$K$45,3,0)</f>
        <v>BRU</v>
      </c>
      <c r="J159" s="4">
        <f>VLOOKUP(B159,[1]TEmplate!$AC$38:$AE$57,3,0)</f>
        <v>46225</v>
      </c>
    </row>
    <row r="160" spans="1:10" x14ac:dyDescent="0.3">
      <c r="A160" t="s">
        <v>12</v>
      </c>
      <c r="B160">
        <v>13</v>
      </c>
      <c r="C160">
        <v>3</v>
      </c>
      <c r="D160">
        <v>5</v>
      </c>
      <c r="E160" t="str">
        <f>VLOOKUP(D160,[1]TEmplate!$I$38:$K$45,2,0)</f>
        <v>MHSOB</v>
      </c>
      <c r="F160" t="s">
        <v>5</v>
      </c>
      <c r="G160">
        <v>3</v>
      </c>
      <c r="H160" t="str">
        <f>VLOOKUP(G160,[1]TEmplate!$I$38:$K$45,2,0)</f>
        <v>Bye</v>
      </c>
      <c r="I160" t="str">
        <f>VLOOKUP(D160,[1]TEmplate!$I$38:$K$45,3,0)</f>
        <v>MHS</v>
      </c>
      <c r="J160" s="4">
        <f>VLOOKUP(B160,[1]TEmplate!$AC$38:$AE$57,3,0)</f>
        <v>46225</v>
      </c>
    </row>
    <row r="161" spans="1:10" x14ac:dyDescent="0.3">
      <c r="A161" t="s">
        <v>12</v>
      </c>
      <c r="B161">
        <v>13</v>
      </c>
      <c r="C161">
        <v>4</v>
      </c>
      <c r="D161">
        <v>8</v>
      </c>
      <c r="E161" t="str">
        <f>VLOOKUP(D161,[1]TEmplate!$I$38:$K$45,2,0)</f>
        <v>Knox</v>
      </c>
      <c r="F161" t="s">
        <v>5</v>
      </c>
      <c r="G161">
        <v>4</v>
      </c>
      <c r="H161" t="str">
        <f>VLOOKUP(G161,[1]TEmplate!$I$38:$K$45,2,0)</f>
        <v>Camberwell Hockey Club</v>
      </c>
      <c r="I161" t="str">
        <f>VLOOKUP(D161,[1]TEmplate!$I$38:$K$45,3,0)</f>
        <v>KNX</v>
      </c>
      <c r="J161" s="4">
        <f>VLOOKUP(B161,[1]TEmplate!$AC$38:$AE$57,3,0)</f>
        <v>46225</v>
      </c>
    </row>
    <row r="162" spans="1:10" x14ac:dyDescent="0.3">
      <c r="A162" t="s">
        <v>12</v>
      </c>
      <c r="B162">
        <v>14</v>
      </c>
      <c r="C162">
        <v>1</v>
      </c>
      <c r="D162">
        <v>4</v>
      </c>
      <c r="E162" t="str">
        <f>VLOOKUP(D162,[1]TEmplate!$I$38:$K$45,2,0)</f>
        <v>Camberwell Hockey Club</v>
      </c>
      <c r="F162" t="s">
        <v>5</v>
      </c>
      <c r="G162">
        <v>5</v>
      </c>
      <c r="H162" t="str">
        <f>VLOOKUP(G162,[1]TEmplate!$I$38:$K$45,2,0)</f>
        <v>MHSOB</v>
      </c>
      <c r="I162" t="str">
        <f>VLOOKUP(D162,[1]TEmplate!$I$38:$K$45,3,0)</f>
        <v>CAM</v>
      </c>
      <c r="J162" s="4">
        <f>VLOOKUP(B162,[1]TEmplate!$AC$38:$AE$57,3,0)</f>
        <v>46232</v>
      </c>
    </row>
    <row r="163" spans="1:10" x14ac:dyDescent="0.3">
      <c r="A163" t="s">
        <v>12</v>
      </c>
      <c r="B163">
        <v>14</v>
      </c>
      <c r="C163">
        <v>2</v>
      </c>
      <c r="D163">
        <v>3</v>
      </c>
      <c r="E163" t="str">
        <f>VLOOKUP(D163,[1]TEmplate!$I$38:$K$45,2,0)</f>
        <v>Bye</v>
      </c>
      <c r="F163" t="s">
        <v>5</v>
      </c>
      <c r="G163">
        <v>6</v>
      </c>
      <c r="H163" t="str">
        <f>VLOOKUP(G163,[1]TEmplate!$I$38:$K$45,2,0)</f>
        <v>Brunswick Hockey Club 2</v>
      </c>
      <c r="I163">
        <f>VLOOKUP(D163,[1]TEmplate!$I$38:$K$45,3,0)</f>
        <v>0</v>
      </c>
      <c r="J163" s="4">
        <f>VLOOKUP(B163,[1]TEmplate!$AC$38:$AE$57,3,0)</f>
        <v>46232</v>
      </c>
    </row>
    <row r="164" spans="1:10" x14ac:dyDescent="0.3">
      <c r="A164" t="s">
        <v>12</v>
      </c>
      <c r="B164">
        <v>14</v>
      </c>
      <c r="C164">
        <v>3</v>
      </c>
      <c r="D164">
        <v>2</v>
      </c>
      <c r="E164" t="str">
        <f>VLOOKUP(D164,[1]TEmplate!$I$38:$K$45,2,0)</f>
        <v>Hawthorn Blue</v>
      </c>
      <c r="F164" t="s">
        <v>5</v>
      </c>
      <c r="G164">
        <v>7</v>
      </c>
      <c r="H164" t="str">
        <f>VLOOKUP(G164,[1]TEmplate!$I$38:$K$45,2,0)</f>
        <v>Bayside Powerhouse Saints Hockey Club</v>
      </c>
      <c r="I164" t="str">
        <f>VLOOKUP(D164,[1]TEmplate!$I$38:$K$45,3,0)</f>
        <v>HAW</v>
      </c>
      <c r="J164" s="4">
        <f>VLOOKUP(B164,[1]TEmplate!$AC$38:$AE$57,3,0)</f>
        <v>46232</v>
      </c>
    </row>
    <row r="165" spans="1:10" x14ac:dyDescent="0.3">
      <c r="A165" t="s">
        <v>12</v>
      </c>
      <c r="B165">
        <v>14</v>
      </c>
      <c r="C165">
        <v>4</v>
      </c>
      <c r="D165">
        <v>1</v>
      </c>
      <c r="E165" t="str">
        <f>VLOOKUP(D165,[1]TEmplate!$I$38:$K$45,2,0)</f>
        <v>PEGS Hockey Club</v>
      </c>
      <c r="F165" t="s">
        <v>5</v>
      </c>
      <c r="G165">
        <v>8</v>
      </c>
      <c r="H165" t="str">
        <f>VLOOKUP(G165,[1]TEmplate!$I$38:$K$45,2,0)</f>
        <v>Knox</v>
      </c>
      <c r="I165" t="str">
        <f>VLOOKUP(D165,[1]TEmplate!$I$38:$K$45,3,0)</f>
        <v>PEGS</v>
      </c>
      <c r="J165" s="4">
        <f>VLOOKUP(B165,[1]TEmplate!$AC$38:$AE$57,3,0)</f>
        <v>46232</v>
      </c>
    </row>
    <row r="166" spans="1:10" x14ac:dyDescent="0.3">
      <c r="A166" t="s">
        <v>12</v>
      </c>
      <c r="B166">
        <v>15</v>
      </c>
      <c r="C166">
        <v>1</v>
      </c>
      <c r="D166">
        <v>2</v>
      </c>
      <c r="E166" t="str">
        <f>VLOOKUP(D166,[1]TEmplate!$I$38:$K$45,2,0)</f>
        <v>Hawthorn Blue</v>
      </c>
      <c r="F166" t="s">
        <v>5</v>
      </c>
      <c r="G166">
        <v>1</v>
      </c>
      <c r="H166" t="str">
        <f>VLOOKUP(G166,[1]TEmplate!$I$38:$K$45,2,0)</f>
        <v>PEGS Hockey Club</v>
      </c>
      <c r="I166" t="str">
        <f>VLOOKUP(D166,[1]TEmplate!$I$38:$K$45,3,0)</f>
        <v>HAW</v>
      </c>
      <c r="J166" s="4">
        <f>VLOOKUP(B166,[1]TEmplate!$AC$38:$AE$57,3,0)</f>
        <v>46239</v>
      </c>
    </row>
    <row r="167" spans="1:10" x14ac:dyDescent="0.3">
      <c r="A167" t="s">
        <v>12</v>
      </c>
      <c r="B167">
        <v>15</v>
      </c>
      <c r="C167">
        <v>2</v>
      </c>
      <c r="D167">
        <v>3</v>
      </c>
      <c r="E167" t="str">
        <f>VLOOKUP(D167,[1]TEmplate!$I$38:$K$45,2,0)</f>
        <v>Bye</v>
      </c>
      <c r="F167" t="s">
        <v>5</v>
      </c>
      <c r="G167">
        <v>7</v>
      </c>
      <c r="H167" t="str">
        <f>VLOOKUP(G167,[1]TEmplate!$I$38:$K$45,2,0)</f>
        <v>Bayside Powerhouse Saints Hockey Club</v>
      </c>
      <c r="I167">
        <f>VLOOKUP(D167,[1]TEmplate!$I$38:$K$45,3,0)</f>
        <v>0</v>
      </c>
      <c r="J167" s="4">
        <f>VLOOKUP(B167,[1]TEmplate!$AC$38:$AE$57,3,0)</f>
        <v>46239</v>
      </c>
    </row>
    <row r="168" spans="1:10" x14ac:dyDescent="0.3">
      <c r="A168" t="s">
        <v>12</v>
      </c>
      <c r="B168">
        <v>15</v>
      </c>
      <c r="C168">
        <v>3</v>
      </c>
      <c r="D168">
        <v>4</v>
      </c>
      <c r="E168" t="str">
        <f>VLOOKUP(D168,[1]TEmplate!$I$38:$K$45,2,0)</f>
        <v>Camberwell Hockey Club</v>
      </c>
      <c r="F168" t="s">
        <v>5</v>
      </c>
      <c r="G168">
        <v>6</v>
      </c>
      <c r="H168" t="str">
        <f>VLOOKUP(G168,[1]TEmplate!$I$38:$K$45,2,0)</f>
        <v>Brunswick Hockey Club 2</v>
      </c>
      <c r="I168" t="str">
        <f>VLOOKUP(D168,[1]TEmplate!$I$38:$K$45,3,0)</f>
        <v>CAM</v>
      </c>
      <c r="J168" s="4">
        <f>VLOOKUP(B168,[1]TEmplate!$AC$38:$AE$57,3,0)</f>
        <v>46239</v>
      </c>
    </row>
    <row r="169" spans="1:10" x14ac:dyDescent="0.3">
      <c r="A169" t="s">
        <v>12</v>
      </c>
      <c r="B169">
        <v>15</v>
      </c>
      <c r="C169">
        <v>4</v>
      </c>
      <c r="D169">
        <v>5</v>
      </c>
      <c r="E169" t="str">
        <f>VLOOKUP(D169,[1]TEmplate!$I$38:$K$45,2,0)</f>
        <v>MHSOB</v>
      </c>
      <c r="F169" t="s">
        <v>5</v>
      </c>
      <c r="G169">
        <v>8</v>
      </c>
      <c r="H169" t="str">
        <f>VLOOKUP(G169,[1]TEmplate!$I$38:$K$45,2,0)</f>
        <v>Knox</v>
      </c>
      <c r="I169" t="str">
        <f>VLOOKUP(D169,[1]TEmplate!$I$38:$K$45,3,0)</f>
        <v>MHS</v>
      </c>
      <c r="J169" s="4">
        <f>VLOOKUP(B169,[1]TEmplate!$AC$38:$AE$57,3,0)</f>
        <v>46239</v>
      </c>
    </row>
    <row r="170" spans="1:10" x14ac:dyDescent="0.3">
      <c r="A170" t="s">
        <v>12</v>
      </c>
      <c r="B170">
        <v>16</v>
      </c>
      <c r="C170">
        <v>1</v>
      </c>
      <c r="D170">
        <v>1</v>
      </c>
      <c r="E170" t="str">
        <f>VLOOKUP(D170,[1]TEmplate!$I$38:$K$45,2,0)</f>
        <v>PEGS Hockey Club</v>
      </c>
      <c r="F170" t="s">
        <v>5</v>
      </c>
      <c r="G170">
        <v>3</v>
      </c>
      <c r="H170" t="str">
        <f>VLOOKUP(G170,[1]TEmplate!$I$38:$K$45,2,0)</f>
        <v>Bye</v>
      </c>
      <c r="I170" t="str">
        <f>VLOOKUP(D170,[1]TEmplate!$I$38:$K$45,3,0)</f>
        <v>PEGS</v>
      </c>
      <c r="J170" s="4">
        <f>VLOOKUP(B170,[1]TEmplate!$AC$38:$AE$57,3,0)</f>
        <v>46246</v>
      </c>
    </row>
    <row r="171" spans="1:10" x14ac:dyDescent="0.3">
      <c r="A171" t="s">
        <v>12</v>
      </c>
      <c r="B171">
        <v>16</v>
      </c>
      <c r="C171">
        <v>2</v>
      </c>
      <c r="D171">
        <v>6</v>
      </c>
      <c r="E171" t="str">
        <f>VLOOKUP(D171,[1]TEmplate!$I$38:$K$45,2,0)</f>
        <v>Brunswick Hockey Club 2</v>
      </c>
      <c r="F171" t="s">
        <v>5</v>
      </c>
      <c r="G171">
        <v>5</v>
      </c>
      <c r="H171" t="str">
        <f>VLOOKUP(G171,[1]TEmplate!$I$38:$K$45,2,0)</f>
        <v>MHSOB</v>
      </c>
      <c r="I171" t="str">
        <f>VLOOKUP(D171,[1]TEmplate!$I$38:$K$45,3,0)</f>
        <v>BRU</v>
      </c>
      <c r="J171" s="4">
        <f>VLOOKUP(B171,[1]TEmplate!$AC$38:$AE$57,3,0)</f>
        <v>46246</v>
      </c>
    </row>
    <row r="172" spans="1:10" x14ac:dyDescent="0.3">
      <c r="A172" t="s">
        <v>12</v>
      </c>
      <c r="B172">
        <v>16</v>
      </c>
      <c r="C172">
        <v>3</v>
      </c>
      <c r="D172">
        <v>7</v>
      </c>
      <c r="E172" t="str">
        <f>VLOOKUP(D172,[1]TEmplate!$I$38:$K$45,2,0)</f>
        <v>Bayside Powerhouse Saints Hockey Club</v>
      </c>
      <c r="F172" t="s">
        <v>5</v>
      </c>
      <c r="G172">
        <v>4</v>
      </c>
      <c r="H172" t="str">
        <f>VLOOKUP(G172,[1]TEmplate!$I$38:$K$45,2,0)</f>
        <v>Camberwell Hockey Club</v>
      </c>
      <c r="I172" t="str">
        <f>VLOOKUP(D172,[1]TEmplate!$I$38:$K$45,3,0)</f>
        <v>APK</v>
      </c>
      <c r="J172" s="4">
        <f>VLOOKUP(B172,[1]TEmplate!$AC$38:$AE$57,3,0)</f>
        <v>46246</v>
      </c>
    </row>
    <row r="173" spans="1:10" x14ac:dyDescent="0.3">
      <c r="A173" t="s">
        <v>12</v>
      </c>
      <c r="B173">
        <v>16</v>
      </c>
      <c r="C173">
        <v>4</v>
      </c>
      <c r="D173">
        <v>8</v>
      </c>
      <c r="E173" t="str">
        <f>VLOOKUP(D173,[1]TEmplate!$I$38:$K$45,2,0)</f>
        <v>Knox</v>
      </c>
      <c r="F173" t="s">
        <v>5</v>
      </c>
      <c r="G173">
        <v>2</v>
      </c>
      <c r="H173" t="str">
        <f>VLOOKUP(G173,[1]TEmplate!$I$38:$K$45,2,0)</f>
        <v>Hawthorn Blue</v>
      </c>
      <c r="I173" t="str">
        <f>VLOOKUP(D173,[1]TEmplate!$I$38:$K$45,3,0)</f>
        <v>KNX</v>
      </c>
      <c r="J173" s="4">
        <f>VLOOKUP(B173,[1]TEmplate!$AC$38:$AE$57,3,0)</f>
        <v>46246</v>
      </c>
    </row>
    <row r="174" spans="1:10" x14ac:dyDescent="0.3">
      <c r="A174" t="s">
        <v>12</v>
      </c>
      <c r="B174">
        <v>17</v>
      </c>
      <c r="C174">
        <v>1</v>
      </c>
      <c r="D174">
        <v>3</v>
      </c>
      <c r="E174" t="str">
        <f>VLOOKUP(D174,[1]TEmplate!$I$38:$K$45,2,0)</f>
        <v>Bye</v>
      </c>
      <c r="F174" t="s">
        <v>5</v>
      </c>
      <c r="G174">
        <v>2</v>
      </c>
      <c r="H174" t="str">
        <f>VLOOKUP(G174,[1]TEmplate!$I$38:$K$45,2,0)</f>
        <v>Hawthorn Blue</v>
      </c>
      <c r="I174">
        <f>VLOOKUP(D174,[1]TEmplate!$I$38:$K$45,3,0)</f>
        <v>0</v>
      </c>
      <c r="J174" s="4">
        <f>VLOOKUP(B174,[1]TEmplate!$AC$38:$AE$57,3,0)</f>
        <v>46253</v>
      </c>
    </row>
    <row r="175" spans="1:10" x14ac:dyDescent="0.3">
      <c r="A175" t="s">
        <v>12</v>
      </c>
      <c r="B175">
        <v>17</v>
      </c>
      <c r="C175">
        <v>2</v>
      </c>
      <c r="D175">
        <v>4</v>
      </c>
      <c r="E175" t="str">
        <f>VLOOKUP(D175,[1]TEmplate!$I$38:$K$45,2,0)</f>
        <v>Camberwell Hockey Club</v>
      </c>
      <c r="F175" t="s">
        <v>5</v>
      </c>
      <c r="G175">
        <v>1</v>
      </c>
      <c r="H175" t="str">
        <f>VLOOKUP(G175,[1]TEmplate!$I$38:$K$45,2,0)</f>
        <v>PEGS Hockey Club</v>
      </c>
      <c r="I175" t="str">
        <f>VLOOKUP(D175,[1]TEmplate!$I$38:$K$45,3,0)</f>
        <v>CAM</v>
      </c>
      <c r="J175" s="4">
        <f>VLOOKUP(B175,[1]TEmplate!$AC$38:$AE$57,3,0)</f>
        <v>46253</v>
      </c>
    </row>
    <row r="176" spans="1:10" x14ac:dyDescent="0.3">
      <c r="A176" t="s">
        <v>12</v>
      </c>
      <c r="B176">
        <v>17</v>
      </c>
      <c r="C176">
        <v>3</v>
      </c>
      <c r="D176">
        <v>5</v>
      </c>
      <c r="E176" t="str">
        <f>VLOOKUP(D176,[1]TEmplate!$I$38:$K$45,2,0)</f>
        <v>MHSOB</v>
      </c>
      <c r="F176" t="s">
        <v>5</v>
      </c>
      <c r="G176">
        <v>7</v>
      </c>
      <c r="H176" t="str">
        <f>VLOOKUP(G176,[1]TEmplate!$I$38:$K$45,2,0)</f>
        <v>Bayside Powerhouse Saints Hockey Club</v>
      </c>
      <c r="I176" t="str">
        <f>VLOOKUP(D176,[1]TEmplate!$I$38:$K$45,3,0)</f>
        <v>MHS</v>
      </c>
      <c r="J176" s="4">
        <f>VLOOKUP(B176,[1]TEmplate!$AC$38:$AE$57,3,0)</f>
        <v>46253</v>
      </c>
    </row>
    <row r="177" spans="1:10" x14ac:dyDescent="0.3">
      <c r="A177" t="s">
        <v>12</v>
      </c>
      <c r="B177">
        <v>17</v>
      </c>
      <c r="C177">
        <v>4</v>
      </c>
      <c r="D177">
        <v>6</v>
      </c>
      <c r="E177" t="str">
        <f>VLOOKUP(D177,[1]TEmplate!$I$38:$K$45,2,0)</f>
        <v>Brunswick Hockey Club 2</v>
      </c>
      <c r="F177" t="s">
        <v>5</v>
      </c>
      <c r="G177">
        <v>8</v>
      </c>
      <c r="H177" t="str">
        <f>VLOOKUP(G177,[1]TEmplate!$I$38:$K$45,2,0)</f>
        <v>Knox</v>
      </c>
      <c r="I177" t="str">
        <f>VLOOKUP(D177,[1]TEmplate!$I$38:$K$45,3,0)</f>
        <v>BRU</v>
      </c>
      <c r="J177" s="4">
        <f>VLOOKUP(B177,[1]TEmplate!$AC$38:$AE$57,3,0)</f>
        <v>46253</v>
      </c>
    </row>
    <row r="178" spans="1:10" x14ac:dyDescent="0.3">
      <c r="A178" t="s">
        <v>12</v>
      </c>
      <c r="B178">
        <v>18</v>
      </c>
      <c r="C178">
        <v>1</v>
      </c>
      <c r="D178">
        <v>1</v>
      </c>
      <c r="E178" t="str">
        <f>VLOOKUP(D178,[1]TEmplate!$I$38:$K$45,2,0)</f>
        <v>PEGS Hockey Club</v>
      </c>
      <c r="F178" t="s">
        <v>5</v>
      </c>
      <c r="G178">
        <v>5</v>
      </c>
      <c r="H178" t="str">
        <f>VLOOKUP(G178,[1]TEmplate!$I$38:$K$45,2,0)</f>
        <v>MHSOB</v>
      </c>
      <c r="I178" t="str">
        <f>VLOOKUP(D178,[1]TEmplate!$I$38:$K$45,3,0)</f>
        <v>PEGS</v>
      </c>
      <c r="J178" s="4">
        <f>VLOOKUP(B178,[1]TEmplate!$AC$38:$AE$57,3,0)</f>
        <v>46260</v>
      </c>
    </row>
    <row r="179" spans="1:10" x14ac:dyDescent="0.3">
      <c r="A179" t="s">
        <v>12</v>
      </c>
      <c r="B179">
        <v>18</v>
      </c>
      <c r="C179">
        <v>2</v>
      </c>
      <c r="D179">
        <v>2</v>
      </c>
      <c r="E179" t="str">
        <f>VLOOKUP(D179,[1]TEmplate!$I$38:$K$45,2,0)</f>
        <v>Hawthorn Blue</v>
      </c>
      <c r="F179" t="s">
        <v>5</v>
      </c>
      <c r="G179">
        <v>4</v>
      </c>
      <c r="H179" t="str">
        <f>VLOOKUP(G179,[1]TEmplate!$I$38:$K$45,2,0)</f>
        <v>Camberwell Hockey Club</v>
      </c>
      <c r="I179" t="str">
        <f>VLOOKUP(D179,[1]TEmplate!$I$38:$K$45,3,0)</f>
        <v>HAW</v>
      </c>
      <c r="J179" s="4">
        <f>VLOOKUP(B179,[1]TEmplate!$AC$38:$AE$57,3,0)</f>
        <v>46260</v>
      </c>
    </row>
    <row r="180" spans="1:10" x14ac:dyDescent="0.3">
      <c r="A180" t="s">
        <v>12</v>
      </c>
      <c r="B180">
        <v>18</v>
      </c>
      <c r="C180">
        <v>3</v>
      </c>
      <c r="D180">
        <v>7</v>
      </c>
      <c r="E180" t="str">
        <f>VLOOKUP(D180,[1]TEmplate!$I$38:$K$45,2,0)</f>
        <v>Bayside Powerhouse Saints Hockey Club</v>
      </c>
      <c r="F180" t="s">
        <v>5</v>
      </c>
      <c r="G180">
        <v>6</v>
      </c>
      <c r="H180" t="str">
        <f>VLOOKUP(G180,[1]TEmplate!$I$38:$K$45,2,0)</f>
        <v>Brunswick Hockey Club 2</v>
      </c>
      <c r="I180" t="str">
        <f>VLOOKUP(D180,[1]TEmplate!$I$38:$K$45,3,0)</f>
        <v>APK</v>
      </c>
      <c r="J180" s="4">
        <f>VLOOKUP(B180,[1]TEmplate!$AC$38:$AE$57,3,0)</f>
        <v>46260</v>
      </c>
    </row>
    <row r="181" spans="1:10" x14ac:dyDescent="0.3">
      <c r="A181" t="s">
        <v>12</v>
      </c>
      <c r="B181">
        <v>18</v>
      </c>
      <c r="C181">
        <v>4</v>
      </c>
      <c r="D181">
        <v>8</v>
      </c>
      <c r="E181" t="str">
        <f>VLOOKUP(D181,[1]TEmplate!$I$38:$K$45,2,0)</f>
        <v>Knox</v>
      </c>
      <c r="F181" t="s">
        <v>5</v>
      </c>
      <c r="G181">
        <v>3</v>
      </c>
      <c r="H181" t="str">
        <f>VLOOKUP(G181,[1]TEmplate!$I$38:$K$45,2,0)</f>
        <v>Bye</v>
      </c>
      <c r="I181" t="str">
        <f>VLOOKUP(D181,[1]TEmplate!$I$38:$K$45,3,0)</f>
        <v>KNX</v>
      </c>
      <c r="J181" s="4">
        <f>VLOOKUP(B181,[1]TEmplate!$AC$38:$AE$57,3,0)</f>
        <v>46260</v>
      </c>
    </row>
    <row r="182" spans="1:10" x14ac:dyDescent="0.3">
      <c r="A182" s="5" t="s">
        <v>13</v>
      </c>
      <c r="B182">
        <v>1</v>
      </c>
      <c r="C182">
        <v>1</v>
      </c>
      <c r="D182">
        <v>2</v>
      </c>
      <c r="E182" t="str">
        <f>VLOOKUP(D182,[1]TEmplate!$M$38:$O$49,2,0)</f>
        <v>Southern United Hockey Club</v>
      </c>
      <c r="F182" t="s">
        <v>5</v>
      </c>
      <c r="G182">
        <v>1</v>
      </c>
      <c r="H182" t="str">
        <f>VLOOKUP(G182,[1]TEmplate!$M$38:$O$49,2,0)</f>
        <v> Toorak East Malvern Hockey Club</v>
      </c>
      <c r="I182" t="str">
        <f>VLOOKUP(D182,[1]TEmplate!$M$38:$O$49,3,0)</f>
        <v>MBN</v>
      </c>
      <c r="J182" s="4">
        <f>VLOOKUP(B182,[1]TEmplate!$AC$38:$AE$57,3,0)</f>
        <v>46127</v>
      </c>
    </row>
    <row r="183" spans="1:10" x14ac:dyDescent="0.3">
      <c r="A183" s="5" t="s">
        <v>13</v>
      </c>
      <c r="B183">
        <v>1</v>
      </c>
      <c r="C183">
        <v>2</v>
      </c>
      <c r="D183">
        <v>3</v>
      </c>
      <c r="E183" t="str">
        <f>VLOOKUP(D183,[1]TEmplate!$M$38:$O$49,2,0)</f>
        <v>Monash University Hockey Club</v>
      </c>
      <c r="F183" t="s">
        <v>5</v>
      </c>
      <c r="G183">
        <v>11</v>
      </c>
      <c r="H183" t="str">
        <f>VLOOKUP(G183,[1]TEmplate!$M$38:$O$49,2,0)</f>
        <v>Bye</v>
      </c>
      <c r="I183" t="str">
        <f>VLOOKUP(D183,[1]TEmplate!$M$38:$O$49,3,0)</f>
        <v>MON</v>
      </c>
      <c r="J183" s="4">
        <f>VLOOKUP(B183,[1]TEmplate!$AC$38:$AE$57,3,0)</f>
        <v>46127</v>
      </c>
    </row>
    <row r="184" spans="1:10" x14ac:dyDescent="0.3">
      <c r="A184" s="5" t="s">
        <v>13</v>
      </c>
      <c r="B184">
        <v>1</v>
      </c>
      <c r="C184">
        <v>3</v>
      </c>
      <c r="D184">
        <v>4</v>
      </c>
      <c r="E184" t="str">
        <f>VLOOKUP(D184,[1]TEmplate!$M$38:$O$49,2,0)</f>
        <v>Greensborough Hockey Club</v>
      </c>
      <c r="F184" t="s">
        <v>5</v>
      </c>
      <c r="G184">
        <v>10</v>
      </c>
      <c r="H184" t="str">
        <f>VLOOKUP(G184,[1]TEmplate!$M$38:$O$49,2,0)</f>
        <v>MCC Hockey Section</v>
      </c>
      <c r="I184" t="str">
        <f>VLOOKUP(D184,[1]TEmplate!$M$38:$O$49,3,0)</f>
        <v>GRN</v>
      </c>
      <c r="J184" s="4">
        <f>VLOOKUP(B184,[1]TEmplate!$AC$38:$AE$57,3,0)</f>
        <v>46127</v>
      </c>
    </row>
    <row r="185" spans="1:10" x14ac:dyDescent="0.3">
      <c r="A185" s="5" t="s">
        <v>13</v>
      </c>
      <c r="B185">
        <v>1</v>
      </c>
      <c r="C185">
        <v>4</v>
      </c>
      <c r="D185">
        <v>5</v>
      </c>
      <c r="E185" t="str">
        <f>VLOOKUP(D185,[1]TEmplate!$M$38:$O$49,2,0)</f>
        <v>Camberwell Hockey Club</v>
      </c>
      <c r="F185" t="s">
        <v>5</v>
      </c>
      <c r="G185">
        <v>9</v>
      </c>
      <c r="H185" t="str">
        <f>VLOOKUP(G185,[1]TEmplate!$M$38:$O$49,2,0)</f>
        <v>Footscray Hockey Club</v>
      </c>
      <c r="I185" t="str">
        <f>VLOOKUP(D185,[1]TEmplate!$M$38:$O$49,3,0)</f>
        <v>CAM</v>
      </c>
      <c r="J185" s="4">
        <f>VLOOKUP(B185,[1]TEmplate!$AC$38:$AE$57,3,0)</f>
        <v>46127</v>
      </c>
    </row>
    <row r="186" spans="1:10" x14ac:dyDescent="0.3">
      <c r="A186" s="5" t="s">
        <v>13</v>
      </c>
      <c r="B186">
        <v>1</v>
      </c>
      <c r="C186">
        <v>5</v>
      </c>
      <c r="D186">
        <v>6</v>
      </c>
      <c r="E186" t="str">
        <f>VLOOKUP(D186,[1]TEmplate!$M$38:$O$49,2,0)</f>
        <v>Essendon Hockey</v>
      </c>
      <c r="F186" t="s">
        <v>5</v>
      </c>
      <c r="G186">
        <v>8</v>
      </c>
      <c r="H186" t="str">
        <f>VLOOKUP(G186,[1]TEmplate!$M$38:$O$49,2,0)</f>
        <v>Brunswick Hockey Club</v>
      </c>
      <c r="I186" t="str">
        <f>VLOOKUP(D186,[1]TEmplate!$M$38:$O$49,3,0)</f>
        <v>ESS</v>
      </c>
      <c r="J186" s="4">
        <f>VLOOKUP(B186,[1]TEmplate!$AC$38:$AE$57,3,0)</f>
        <v>46127</v>
      </c>
    </row>
    <row r="187" spans="1:10" x14ac:dyDescent="0.3">
      <c r="A187" s="5" t="s">
        <v>13</v>
      </c>
      <c r="B187">
        <v>1</v>
      </c>
      <c r="C187">
        <v>6</v>
      </c>
      <c r="D187">
        <v>7</v>
      </c>
      <c r="E187" t="str">
        <f>VLOOKUP(D187,[1]TEmplate!$M$38:$O$49,2,0)</f>
        <v>Hawthorn Hockey Club</v>
      </c>
      <c r="F187" t="s">
        <v>5</v>
      </c>
      <c r="G187">
        <v>12</v>
      </c>
      <c r="H187" t="str">
        <f>VLOOKUP(G187,[1]TEmplate!$M$38:$O$49,2,0)</f>
        <v>OEMHC MUDS</v>
      </c>
      <c r="I187" t="str">
        <f>VLOOKUP(D187,[1]TEmplate!$M$38:$O$49,3,0)</f>
        <v>HAW</v>
      </c>
      <c r="J187" s="4">
        <f>VLOOKUP(B187,[1]TEmplate!$AC$38:$AE$57,3,0)</f>
        <v>46127</v>
      </c>
    </row>
    <row r="188" spans="1:10" x14ac:dyDescent="0.3">
      <c r="A188" s="5" t="s">
        <v>13</v>
      </c>
      <c r="B188">
        <v>2</v>
      </c>
      <c r="C188">
        <v>1</v>
      </c>
      <c r="D188">
        <v>8</v>
      </c>
      <c r="E188" t="str">
        <f>VLOOKUP(D188,[1]TEmplate!$M$38:$O$49,2,0)</f>
        <v>Brunswick Hockey Club</v>
      </c>
      <c r="F188" t="s">
        <v>5</v>
      </c>
      <c r="G188">
        <v>7</v>
      </c>
      <c r="H188" t="str">
        <f>VLOOKUP(G188,[1]TEmplate!$M$38:$O$49,2,0)</f>
        <v>Hawthorn Hockey Club</v>
      </c>
      <c r="I188" t="str">
        <f>VLOOKUP(D188,[1]TEmplate!$M$38:$O$49,3,0)</f>
        <v>BRU</v>
      </c>
      <c r="J188" s="4">
        <f>VLOOKUP(B188,[1]TEmplate!$AC$38:$AE$57,3,0)</f>
        <v>46134</v>
      </c>
    </row>
    <row r="189" spans="1:10" x14ac:dyDescent="0.3">
      <c r="A189" s="5" t="s">
        <v>13</v>
      </c>
      <c r="B189">
        <v>2</v>
      </c>
      <c r="C189">
        <v>2</v>
      </c>
      <c r="D189">
        <v>9</v>
      </c>
      <c r="E189" t="str">
        <f>VLOOKUP(D189,[1]TEmplate!$M$38:$O$49,2,0)</f>
        <v>Footscray Hockey Club</v>
      </c>
      <c r="F189" t="s">
        <v>5</v>
      </c>
      <c r="G189">
        <v>6</v>
      </c>
      <c r="H189" t="str">
        <f>VLOOKUP(G189,[1]TEmplate!$M$38:$O$49,2,0)</f>
        <v>Essendon Hockey</v>
      </c>
      <c r="I189" t="str">
        <f>VLOOKUP(D189,[1]TEmplate!$M$38:$O$49,3,0)</f>
        <v>FHC</v>
      </c>
      <c r="J189" s="4">
        <f>VLOOKUP(B189,[1]TEmplate!$AC$38:$AE$57,3,0)</f>
        <v>46134</v>
      </c>
    </row>
    <row r="190" spans="1:10" x14ac:dyDescent="0.3">
      <c r="A190" s="5" t="s">
        <v>13</v>
      </c>
      <c r="B190">
        <v>2</v>
      </c>
      <c r="C190">
        <v>3</v>
      </c>
      <c r="D190">
        <v>10</v>
      </c>
      <c r="E190" t="str">
        <f>VLOOKUP(D190,[1]TEmplate!$M$38:$O$49,2,0)</f>
        <v>MCC Hockey Section</v>
      </c>
      <c r="F190" t="s">
        <v>5</v>
      </c>
      <c r="G190">
        <v>5</v>
      </c>
      <c r="H190" t="str">
        <f>VLOOKUP(G190,[1]TEmplate!$M$38:$O$49,2,0)</f>
        <v>Camberwell Hockey Club</v>
      </c>
      <c r="I190" t="str">
        <f>VLOOKUP(D190,[1]TEmplate!$M$38:$O$49,3,0)</f>
        <v>ELW</v>
      </c>
      <c r="J190" s="4">
        <f>VLOOKUP(B190,[1]TEmplate!$AC$38:$AE$57,3,0)</f>
        <v>46134</v>
      </c>
    </row>
    <row r="191" spans="1:10" x14ac:dyDescent="0.3">
      <c r="A191" s="5" t="s">
        <v>13</v>
      </c>
      <c r="B191">
        <v>2</v>
      </c>
      <c r="C191">
        <v>4</v>
      </c>
      <c r="D191">
        <v>11</v>
      </c>
      <c r="E191" t="str">
        <f>VLOOKUP(D191,[1]TEmplate!$M$38:$O$49,2,0)</f>
        <v>Bye</v>
      </c>
      <c r="F191" t="s">
        <v>5</v>
      </c>
      <c r="G191">
        <v>4</v>
      </c>
      <c r="H191" t="str">
        <f>VLOOKUP(G191,[1]TEmplate!$M$38:$O$49,2,0)</f>
        <v>Greensborough Hockey Club</v>
      </c>
      <c r="I191">
        <f>VLOOKUP(D191,[1]TEmplate!$M$38:$O$49,3,0)</f>
        <v>0</v>
      </c>
      <c r="J191" s="4">
        <f>VLOOKUP(B191,[1]TEmplate!$AC$38:$AE$57,3,0)</f>
        <v>46134</v>
      </c>
    </row>
    <row r="192" spans="1:10" x14ac:dyDescent="0.3">
      <c r="A192" s="5" t="s">
        <v>13</v>
      </c>
      <c r="B192">
        <v>2</v>
      </c>
      <c r="C192">
        <v>5</v>
      </c>
      <c r="D192">
        <v>12</v>
      </c>
      <c r="E192" t="str">
        <f>VLOOKUP(D192,[1]TEmplate!$M$38:$O$49,2,0)</f>
        <v>OEMHC MUDS</v>
      </c>
      <c r="F192" t="s">
        <v>5</v>
      </c>
      <c r="G192">
        <v>2</v>
      </c>
      <c r="H192" t="str">
        <f>VLOOKUP(G192,[1]TEmplate!$M$38:$O$49,2,0)</f>
        <v>Southern United Hockey Club</v>
      </c>
      <c r="I192" t="str">
        <f>VLOOKUP(D192,[1]TEmplate!$M$38:$O$49,3,0)</f>
        <v>HAW</v>
      </c>
      <c r="J192" s="4">
        <f>VLOOKUP(B192,[1]TEmplate!$AC$38:$AE$57,3,0)</f>
        <v>46134</v>
      </c>
    </row>
    <row r="193" spans="1:10" x14ac:dyDescent="0.3">
      <c r="A193" s="5" t="s">
        <v>13</v>
      </c>
      <c r="B193">
        <v>2</v>
      </c>
      <c r="C193">
        <v>6</v>
      </c>
      <c r="D193">
        <v>1</v>
      </c>
      <c r="E193" t="str">
        <f>VLOOKUP(D193,[1]TEmplate!$M$38:$O$49,2,0)</f>
        <v> Toorak East Malvern Hockey Club</v>
      </c>
      <c r="F193" t="s">
        <v>5</v>
      </c>
      <c r="G193">
        <v>3</v>
      </c>
      <c r="H193" t="str">
        <f>VLOOKUP(G193,[1]TEmplate!$M$38:$O$49,2,0)</f>
        <v>Monash University Hockey Club</v>
      </c>
      <c r="I193" t="str">
        <f>VLOOKUP(D193,[1]TEmplate!$M$38:$O$49,3,0)</f>
        <v>HAW</v>
      </c>
      <c r="J193" s="4">
        <f>VLOOKUP(B193,[1]TEmplate!$AC$38:$AE$57,3,0)</f>
        <v>46134</v>
      </c>
    </row>
    <row r="194" spans="1:10" x14ac:dyDescent="0.3">
      <c r="A194" s="5" t="s">
        <v>13</v>
      </c>
      <c r="B194">
        <v>3</v>
      </c>
      <c r="C194">
        <v>1</v>
      </c>
      <c r="D194">
        <v>3</v>
      </c>
      <c r="E194" t="str">
        <f>VLOOKUP(D194,[1]TEmplate!$M$38:$O$49,2,0)</f>
        <v>Monash University Hockey Club</v>
      </c>
      <c r="F194" t="s">
        <v>5</v>
      </c>
      <c r="G194">
        <v>2</v>
      </c>
      <c r="H194" t="str">
        <f>VLOOKUP(G194,[1]TEmplate!$M$38:$O$49,2,0)</f>
        <v>Southern United Hockey Club</v>
      </c>
      <c r="I194" t="str">
        <f>VLOOKUP(D194,[1]TEmplate!$M$38:$O$49,3,0)</f>
        <v>MON</v>
      </c>
      <c r="J194" s="4">
        <f>VLOOKUP(B194,[1]TEmplate!$AC$38:$AE$57,3,0)</f>
        <v>46141</v>
      </c>
    </row>
    <row r="195" spans="1:10" x14ac:dyDescent="0.3">
      <c r="A195" s="5" t="s">
        <v>13</v>
      </c>
      <c r="B195">
        <v>3</v>
      </c>
      <c r="C195">
        <v>2</v>
      </c>
      <c r="D195">
        <v>4</v>
      </c>
      <c r="E195" t="str">
        <f>VLOOKUP(D195,[1]TEmplate!$M$38:$O$49,2,0)</f>
        <v>Greensborough Hockey Club</v>
      </c>
      <c r="F195" t="s">
        <v>5</v>
      </c>
      <c r="G195">
        <v>1</v>
      </c>
      <c r="H195" t="str">
        <f>VLOOKUP(G195,[1]TEmplate!$M$38:$O$49,2,0)</f>
        <v> Toorak East Malvern Hockey Club</v>
      </c>
      <c r="I195" t="str">
        <f>VLOOKUP(D195,[1]TEmplate!$M$38:$O$49,3,0)</f>
        <v>GRN</v>
      </c>
      <c r="J195" s="4">
        <f>VLOOKUP(B195,[1]TEmplate!$AC$38:$AE$57,3,0)</f>
        <v>46141</v>
      </c>
    </row>
    <row r="196" spans="1:10" x14ac:dyDescent="0.3">
      <c r="A196" s="5" t="s">
        <v>13</v>
      </c>
      <c r="B196">
        <v>3</v>
      </c>
      <c r="C196">
        <v>3</v>
      </c>
      <c r="D196">
        <v>5</v>
      </c>
      <c r="E196" t="str">
        <f>VLOOKUP(D196,[1]TEmplate!$M$38:$O$49,2,0)</f>
        <v>Camberwell Hockey Club</v>
      </c>
      <c r="F196" t="s">
        <v>5</v>
      </c>
      <c r="G196">
        <v>11</v>
      </c>
      <c r="H196" t="str">
        <f>VLOOKUP(G196,[1]TEmplate!$M$38:$O$49,2,0)</f>
        <v>Bye</v>
      </c>
      <c r="I196" t="str">
        <f>VLOOKUP(D196,[1]TEmplate!$M$38:$O$49,3,0)</f>
        <v>CAM</v>
      </c>
      <c r="J196" s="4">
        <f>VLOOKUP(B196,[1]TEmplate!$AC$38:$AE$57,3,0)</f>
        <v>46141</v>
      </c>
    </row>
    <row r="197" spans="1:10" x14ac:dyDescent="0.3">
      <c r="A197" s="5" t="s">
        <v>13</v>
      </c>
      <c r="B197">
        <v>3</v>
      </c>
      <c r="C197">
        <v>4</v>
      </c>
      <c r="D197">
        <v>6</v>
      </c>
      <c r="E197" t="str">
        <f>VLOOKUP(D197,[1]TEmplate!$M$38:$O$49,2,0)</f>
        <v>Essendon Hockey</v>
      </c>
      <c r="F197" t="s">
        <v>5</v>
      </c>
      <c r="G197">
        <v>10</v>
      </c>
      <c r="H197" t="str">
        <f>VLOOKUP(G197,[1]TEmplate!$M$38:$O$49,2,0)</f>
        <v>MCC Hockey Section</v>
      </c>
      <c r="I197" t="str">
        <f>VLOOKUP(D197,[1]TEmplate!$M$38:$O$49,3,0)</f>
        <v>ESS</v>
      </c>
      <c r="J197" s="4">
        <f>VLOOKUP(B197,[1]TEmplate!$AC$38:$AE$57,3,0)</f>
        <v>46141</v>
      </c>
    </row>
    <row r="198" spans="1:10" x14ac:dyDescent="0.3">
      <c r="A198" s="5" t="s">
        <v>13</v>
      </c>
      <c r="B198">
        <v>3</v>
      </c>
      <c r="C198">
        <v>5</v>
      </c>
      <c r="D198">
        <v>7</v>
      </c>
      <c r="E198" t="str">
        <f>VLOOKUP(D198,[1]TEmplate!$M$38:$O$49,2,0)</f>
        <v>Hawthorn Hockey Club</v>
      </c>
      <c r="F198" t="s">
        <v>5</v>
      </c>
      <c r="G198">
        <v>9</v>
      </c>
      <c r="H198" t="str">
        <f>VLOOKUP(G198,[1]TEmplate!$M$38:$O$49,2,0)</f>
        <v>Footscray Hockey Club</v>
      </c>
      <c r="I198" t="str">
        <f>VLOOKUP(D198,[1]TEmplate!$M$38:$O$49,3,0)</f>
        <v>HAW</v>
      </c>
      <c r="J198" s="4">
        <f>VLOOKUP(B198,[1]TEmplate!$AC$38:$AE$57,3,0)</f>
        <v>46141</v>
      </c>
    </row>
    <row r="199" spans="1:10" x14ac:dyDescent="0.3">
      <c r="A199" s="5" t="s">
        <v>13</v>
      </c>
      <c r="B199">
        <v>3</v>
      </c>
      <c r="C199">
        <v>6</v>
      </c>
      <c r="D199">
        <v>8</v>
      </c>
      <c r="E199" t="str">
        <f>VLOOKUP(D199,[1]TEmplate!$M$38:$O$49,2,0)</f>
        <v>Brunswick Hockey Club</v>
      </c>
      <c r="F199" t="s">
        <v>5</v>
      </c>
      <c r="G199">
        <v>12</v>
      </c>
      <c r="H199" t="str">
        <f>VLOOKUP(G199,[1]TEmplate!$M$38:$O$49,2,0)</f>
        <v>OEMHC MUDS</v>
      </c>
      <c r="I199" t="str">
        <f>VLOOKUP(D199,[1]TEmplate!$M$38:$O$49,3,0)</f>
        <v>BRU</v>
      </c>
      <c r="J199" s="4">
        <f>VLOOKUP(B199,[1]TEmplate!$AC$38:$AE$57,3,0)</f>
        <v>46141</v>
      </c>
    </row>
    <row r="200" spans="1:10" x14ac:dyDescent="0.3">
      <c r="A200" s="5" t="s">
        <v>13</v>
      </c>
      <c r="B200">
        <v>4</v>
      </c>
      <c r="C200">
        <v>1</v>
      </c>
      <c r="D200">
        <v>9</v>
      </c>
      <c r="E200" t="str">
        <f>VLOOKUP(D200,[1]TEmplate!$M$38:$O$49,2,0)</f>
        <v>Footscray Hockey Club</v>
      </c>
      <c r="F200" t="s">
        <v>5</v>
      </c>
      <c r="G200">
        <v>8</v>
      </c>
      <c r="H200" t="str">
        <f>VLOOKUP(G200,[1]TEmplate!$M$38:$O$49,2,0)</f>
        <v>Brunswick Hockey Club</v>
      </c>
      <c r="I200" t="str">
        <f>VLOOKUP(D200,[1]TEmplate!$M$38:$O$49,3,0)</f>
        <v>FHC</v>
      </c>
      <c r="J200" s="4">
        <f>VLOOKUP(B200,[1]TEmplate!$AC$38:$AE$57,3,0)</f>
        <v>46148</v>
      </c>
    </row>
    <row r="201" spans="1:10" x14ac:dyDescent="0.3">
      <c r="A201" s="5" t="s">
        <v>13</v>
      </c>
      <c r="B201">
        <v>4</v>
      </c>
      <c r="C201">
        <v>2</v>
      </c>
      <c r="D201">
        <v>10</v>
      </c>
      <c r="E201" t="str">
        <f>VLOOKUP(D201,[1]TEmplate!$M$38:$O$49,2,0)</f>
        <v>MCC Hockey Section</v>
      </c>
      <c r="F201" t="s">
        <v>5</v>
      </c>
      <c r="G201">
        <v>7</v>
      </c>
      <c r="H201" t="str">
        <f>VLOOKUP(G201,[1]TEmplate!$M$38:$O$49,2,0)</f>
        <v>Hawthorn Hockey Club</v>
      </c>
      <c r="I201" t="str">
        <f>VLOOKUP(D201,[1]TEmplate!$M$38:$O$49,3,0)</f>
        <v>ELW</v>
      </c>
      <c r="J201" s="4">
        <f>VLOOKUP(B201,[1]TEmplate!$AC$38:$AE$57,3,0)</f>
        <v>46148</v>
      </c>
    </row>
    <row r="202" spans="1:10" x14ac:dyDescent="0.3">
      <c r="A202" s="5" t="s">
        <v>13</v>
      </c>
      <c r="B202">
        <v>4</v>
      </c>
      <c r="C202">
        <v>3</v>
      </c>
      <c r="D202">
        <v>11</v>
      </c>
      <c r="E202" t="str">
        <f>VLOOKUP(D202,[1]TEmplate!$M$38:$O$49,2,0)</f>
        <v>Bye</v>
      </c>
      <c r="F202" t="s">
        <v>5</v>
      </c>
      <c r="G202">
        <v>6</v>
      </c>
      <c r="H202" t="str">
        <f>VLOOKUP(G202,[1]TEmplate!$M$38:$O$49,2,0)</f>
        <v>Essendon Hockey</v>
      </c>
      <c r="I202">
        <f>VLOOKUP(D202,[1]TEmplate!$M$38:$O$49,3,0)</f>
        <v>0</v>
      </c>
      <c r="J202" s="4">
        <f>VLOOKUP(B202,[1]TEmplate!$AC$38:$AE$57,3,0)</f>
        <v>46148</v>
      </c>
    </row>
    <row r="203" spans="1:10" x14ac:dyDescent="0.3">
      <c r="A203" s="5" t="s">
        <v>13</v>
      </c>
      <c r="B203">
        <v>4</v>
      </c>
      <c r="C203">
        <v>4</v>
      </c>
      <c r="D203">
        <v>12</v>
      </c>
      <c r="E203" t="str">
        <f>VLOOKUP(D203,[1]TEmplate!$M$38:$O$49,2,0)</f>
        <v>OEMHC MUDS</v>
      </c>
      <c r="F203" t="s">
        <v>5</v>
      </c>
      <c r="G203">
        <v>3</v>
      </c>
      <c r="H203" t="str">
        <f>VLOOKUP(G203,[1]TEmplate!$M$38:$O$49,2,0)</f>
        <v>Monash University Hockey Club</v>
      </c>
      <c r="I203" t="str">
        <f>VLOOKUP(D203,[1]TEmplate!$M$38:$O$49,3,0)</f>
        <v>HAW</v>
      </c>
      <c r="J203" s="4">
        <f>VLOOKUP(B203,[1]TEmplate!$AC$38:$AE$57,3,0)</f>
        <v>46148</v>
      </c>
    </row>
    <row r="204" spans="1:10" x14ac:dyDescent="0.3">
      <c r="A204" s="5" t="s">
        <v>13</v>
      </c>
      <c r="B204">
        <v>4</v>
      </c>
      <c r="C204">
        <v>5</v>
      </c>
      <c r="D204">
        <v>1</v>
      </c>
      <c r="E204" t="str">
        <f>VLOOKUP(D204,[1]TEmplate!$M$38:$O$49,2,0)</f>
        <v> Toorak East Malvern Hockey Club</v>
      </c>
      <c r="F204" t="s">
        <v>5</v>
      </c>
      <c r="G204">
        <v>5</v>
      </c>
      <c r="H204" t="str">
        <f>VLOOKUP(G204,[1]TEmplate!$M$38:$O$49,2,0)</f>
        <v>Camberwell Hockey Club</v>
      </c>
      <c r="I204" t="str">
        <f>VLOOKUP(D204,[1]TEmplate!$M$38:$O$49,3,0)</f>
        <v>HAW</v>
      </c>
      <c r="J204" s="4">
        <f>VLOOKUP(B204,[1]TEmplate!$AC$38:$AE$57,3,0)</f>
        <v>46148</v>
      </c>
    </row>
    <row r="205" spans="1:10" x14ac:dyDescent="0.3">
      <c r="A205" s="5" t="s">
        <v>13</v>
      </c>
      <c r="B205">
        <v>4</v>
      </c>
      <c r="C205">
        <v>6</v>
      </c>
      <c r="D205">
        <v>2</v>
      </c>
      <c r="E205" t="str">
        <f>VLOOKUP(D205,[1]TEmplate!$M$38:$O$49,2,0)</f>
        <v>Southern United Hockey Club</v>
      </c>
      <c r="F205" t="s">
        <v>5</v>
      </c>
      <c r="G205">
        <v>4</v>
      </c>
      <c r="H205" t="str">
        <f>VLOOKUP(G205,[1]TEmplate!$M$38:$O$49,2,0)</f>
        <v>Greensborough Hockey Club</v>
      </c>
      <c r="I205" t="str">
        <f>VLOOKUP(D205,[1]TEmplate!$M$38:$O$49,3,0)</f>
        <v>MBN</v>
      </c>
      <c r="J205" s="4">
        <f>VLOOKUP(B205,[1]TEmplate!$AC$38:$AE$57,3,0)</f>
        <v>46148</v>
      </c>
    </row>
    <row r="206" spans="1:10" x14ac:dyDescent="0.3">
      <c r="A206" s="5" t="s">
        <v>13</v>
      </c>
      <c r="B206">
        <v>5</v>
      </c>
      <c r="C206">
        <v>1</v>
      </c>
      <c r="D206">
        <v>4</v>
      </c>
      <c r="E206" t="str">
        <f>VLOOKUP(D206,[1]TEmplate!$M$38:$O$49,2,0)</f>
        <v>Greensborough Hockey Club</v>
      </c>
      <c r="F206" t="s">
        <v>5</v>
      </c>
      <c r="G206">
        <v>3</v>
      </c>
      <c r="H206" t="str">
        <f>VLOOKUP(G206,[1]TEmplate!$M$38:$O$49,2,0)</f>
        <v>Monash University Hockey Club</v>
      </c>
      <c r="I206" t="str">
        <f>VLOOKUP(D206,[1]TEmplate!$M$38:$O$49,3,0)</f>
        <v>GRN</v>
      </c>
      <c r="J206" s="4">
        <f>VLOOKUP(B206,[1]TEmplate!$AC$38:$AE$57,3,0)</f>
        <v>46155</v>
      </c>
    </row>
    <row r="207" spans="1:10" x14ac:dyDescent="0.3">
      <c r="A207" s="5" t="s">
        <v>13</v>
      </c>
      <c r="B207">
        <v>5</v>
      </c>
      <c r="C207">
        <v>2</v>
      </c>
      <c r="D207">
        <v>5</v>
      </c>
      <c r="E207" t="str">
        <f>VLOOKUP(D207,[1]TEmplate!$M$38:$O$49,2,0)</f>
        <v>Camberwell Hockey Club</v>
      </c>
      <c r="F207" t="s">
        <v>5</v>
      </c>
      <c r="G207">
        <v>2</v>
      </c>
      <c r="H207" t="str">
        <f>VLOOKUP(G207,[1]TEmplate!$M$38:$O$49,2,0)</f>
        <v>Southern United Hockey Club</v>
      </c>
      <c r="I207" t="str">
        <f>VLOOKUP(D207,[1]TEmplate!$M$38:$O$49,3,0)</f>
        <v>CAM</v>
      </c>
      <c r="J207" s="4">
        <f>VLOOKUP(B207,[1]TEmplate!$AC$38:$AE$57,3,0)</f>
        <v>46155</v>
      </c>
    </row>
    <row r="208" spans="1:10" x14ac:dyDescent="0.3">
      <c r="A208" s="5" t="s">
        <v>13</v>
      </c>
      <c r="B208">
        <v>5</v>
      </c>
      <c r="C208">
        <v>3</v>
      </c>
      <c r="D208">
        <v>6</v>
      </c>
      <c r="E208" t="str">
        <f>VLOOKUP(D208,[1]TEmplate!$M$38:$O$49,2,0)</f>
        <v>Essendon Hockey</v>
      </c>
      <c r="F208" t="s">
        <v>5</v>
      </c>
      <c r="G208">
        <v>1</v>
      </c>
      <c r="H208" t="str">
        <f>VLOOKUP(G208,[1]TEmplate!$M$38:$O$49,2,0)</f>
        <v> Toorak East Malvern Hockey Club</v>
      </c>
      <c r="I208" t="str">
        <f>VLOOKUP(D208,[1]TEmplate!$M$38:$O$49,3,0)</f>
        <v>ESS</v>
      </c>
      <c r="J208" s="4">
        <f>VLOOKUP(B208,[1]TEmplate!$AC$38:$AE$57,3,0)</f>
        <v>46155</v>
      </c>
    </row>
    <row r="209" spans="1:10" x14ac:dyDescent="0.3">
      <c r="A209" s="5" t="s">
        <v>13</v>
      </c>
      <c r="B209">
        <v>5</v>
      </c>
      <c r="C209">
        <v>4</v>
      </c>
      <c r="D209">
        <v>7</v>
      </c>
      <c r="E209" t="str">
        <f>VLOOKUP(D209,[1]TEmplate!$M$38:$O$49,2,0)</f>
        <v>Hawthorn Hockey Club</v>
      </c>
      <c r="F209" t="s">
        <v>5</v>
      </c>
      <c r="G209">
        <v>11</v>
      </c>
      <c r="H209" t="str">
        <f>VLOOKUP(G209,[1]TEmplate!$M$38:$O$49,2,0)</f>
        <v>Bye</v>
      </c>
      <c r="I209" t="str">
        <f>VLOOKUP(D209,[1]TEmplate!$M$38:$O$49,3,0)</f>
        <v>HAW</v>
      </c>
      <c r="J209" s="4">
        <f>VLOOKUP(B209,[1]TEmplate!$AC$38:$AE$57,3,0)</f>
        <v>46155</v>
      </c>
    </row>
    <row r="210" spans="1:10" x14ac:dyDescent="0.3">
      <c r="A210" s="5" t="s">
        <v>13</v>
      </c>
      <c r="B210">
        <v>5</v>
      </c>
      <c r="C210">
        <v>5</v>
      </c>
      <c r="D210">
        <v>8</v>
      </c>
      <c r="E210" t="str">
        <f>VLOOKUP(D210,[1]TEmplate!$M$38:$O$49,2,0)</f>
        <v>Brunswick Hockey Club</v>
      </c>
      <c r="F210" t="s">
        <v>5</v>
      </c>
      <c r="G210">
        <v>10</v>
      </c>
      <c r="H210" t="str">
        <f>VLOOKUP(G210,[1]TEmplate!$M$38:$O$49,2,0)</f>
        <v>MCC Hockey Section</v>
      </c>
      <c r="I210" t="str">
        <f>VLOOKUP(D210,[1]TEmplate!$M$38:$O$49,3,0)</f>
        <v>BRU</v>
      </c>
      <c r="J210" s="4">
        <f>VLOOKUP(B210,[1]TEmplate!$AC$38:$AE$57,3,0)</f>
        <v>46155</v>
      </c>
    </row>
    <row r="211" spans="1:10" x14ac:dyDescent="0.3">
      <c r="A211" s="5" t="s">
        <v>13</v>
      </c>
      <c r="B211">
        <v>5</v>
      </c>
      <c r="C211">
        <v>6</v>
      </c>
      <c r="D211">
        <v>9</v>
      </c>
      <c r="E211" t="str">
        <f>VLOOKUP(D211,[1]TEmplate!$M$38:$O$49,2,0)</f>
        <v>Footscray Hockey Club</v>
      </c>
      <c r="F211" t="s">
        <v>5</v>
      </c>
      <c r="G211">
        <v>12</v>
      </c>
      <c r="H211" t="str">
        <f>VLOOKUP(G211,[1]TEmplate!$M$38:$O$49,2,0)</f>
        <v>OEMHC MUDS</v>
      </c>
      <c r="I211" t="str">
        <f>VLOOKUP(D211,[1]TEmplate!$M$38:$O$49,3,0)</f>
        <v>FHC</v>
      </c>
      <c r="J211" s="4">
        <f>VLOOKUP(B211,[1]TEmplate!$AC$38:$AE$57,3,0)</f>
        <v>46155</v>
      </c>
    </row>
    <row r="212" spans="1:10" x14ac:dyDescent="0.3">
      <c r="A212" s="5" t="s">
        <v>13</v>
      </c>
      <c r="B212">
        <v>6</v>
      </c>
      <c r="C212">
        <v>1</v>
      </c>
      <c r="D212">
        <v>10</v>
      </c>
      <c r="E212" t="str">
        <f>VLOOKUP(D212,[1]TEmplate!$M$38:$O$49,2,0)</f>
        <v>MCC Hockey Section</v>
      </c>
      <c r="F212" t="s">
        <v>5</v>
      </c>
      <c r="G212">
        <v>9</v>
      </c>
      <c r="H212" t="str">
        <f>VLOOKUP(G212,[1]TEmplate!$M$38:$O$49,2,0)</f>
        <v>Footscray Hockey Club</v>
      </c>
      <c r="I212" t="str">
        <f>VLOOKUP(D212,[1]TEmplate!$M$38:$O$49,3,0)</f>
        <v>ELW</v>
      </c>
      <c r="J212" s="4">
        <f>VLOOKUP(B212,[1]TEmplate!$AC$38:$AE$57,3,0)</f>
        <v>46162</v>
      </c>
    </row>
    <row r="213" spans="1:10" x14ac:dyDescent="0.3">
      <c r="A213" s="5" t="s">
        <v>13</v>
      </c>
      <c r="B213">
        <v>6</v>
      </c>
      <c r="C213">
        <v>2</v>
      </c>
      <c r="D213">
        <v>11</v>
      </c>
      <c r="E213" t="str">
        <f>VLOOKUP(D213,[1]TEmplate!$M$38:$O$49,2,0)</f>
        <v>Bye</v>
      </c>
      <c r="F213" t="s">
        <v>5</v>
      </c>
      <c r="G213">
        <v>8</v>
      </c>
      <c r="H213" t="str">
        <f>VLOOKUP(G213,[1]TEmplate!$M$38:$O$49,2,0)</f>
        <v>Brunswick Hockey Club</v>
      </c>
      <c r="I213">
        <f>VLOOKUP(D213,[1]TEmplate!$M$38:$O$49,3,0)</f>
        <v>0</v>
      </c>
      <c r="J213" s="4">
        <f>VLOOKUP(B213,[1]TEmplate!$AC$38:$AE$57,3,0)</f>
        <v>46162</v>
      </c>
    </row>
    <row r="214" spans="1:10" x14ac:dyDescent="0.3">
      <c r="A214" s="5" t="s">
        <v>13</v>
      </c>
      <c r="B214">
        <v>6</v>
      </c>
      <c r="C214">
        <v>3</v>
      </c>
      <c r="D214">
        <v>12</v>
      </c>
      <c r="E214" t="str">
        <f>VLOOKUP(D214,[1]TEmplate!$M$38:$O$49,2,0)</f>
        <v>OEMHC MUDS</v>
      </c>
      <c r="F214" t="s">
        <v>5</v>
      </c>
      <c r="G214">
        <v>4</v>
      </c>
      <c r="H214" t="str">
        <f>VLOOKUP(G214,[1]TEmplate!$M$38:$O$49,2,0)</f>
        <v>Greensborough Hockey Club</v>
      </c>
      <c r="I214" t="str">
        <f>VLOOKUP(D214,[1]TEmplate!$M$38:$O$49,3,0)</f>
        <v>HAW</v>
      </c>
      <c r="J214" s="4">
        <f>VLOOKUP(B214,[1]TEmplate!$AC$38:$AE$57,3,0)</f>
        <v>46162</v>
      </c>
    </row>
    <row r="215" spans="1:10" x14ac:dyDescent="0.3">
      <c r="A215" s="5" t="s">
        <v>13</v>
      </c>
      <c r="B215">
        <v>6</v>
      </c>
      <c r="C215">
        <v>4</v>
      </c>
      <c r="D215">
        <v>1</v>
      </c>
      <c r="E215" t="str">
        <f>VLOOKUP(D215,[1]TEmplate!$M$38:$O$49,2,0)</f>
        <v> Toorak East Malvern Hockey Club</v>
      </c>
      <c r="F215" t="s">
        <v>5</v>
      </c>
      <c r="G215">
        <v>7</v>
      </c>
      <c r="H215" t="str">
        <f>VLOOKUP(G215,[1]TEmplate!$M$38:$O$49,2,0)</f>
        <v>Hawthorn Hockey Club</v>
      </c>
      <c r="I215" t="str">
        <f>VLOOKUP(D215,[1]TEmplate!$M$38:$O$49,3,0)</f>
        <v>HAW</v>
      </c>
      <c r="J215" s="4">
        <f>VLOOKUP(B215,[1]TEmplate!$AC$38:$AE$57,3,0)</f>
        <v>46162</v>
      </c>
    </row>
    <row r="216" spans="1:10" x14ac:dyDescent="0.3">
      <c r="A216" s="5" t="s">
        <v>13</v>
      </c>
      <c r="B216">
        <v>6</v>
      </c>
      <c r="C216">
        <v>5</v>
      </c>
      <c r="D216">
        <v>2</v>
      </c>
      <c r="E216" t="str">
        <f>VLOOKUP(D216,[1]TEmplate!$M$38:$O$49,2,0)</f>
        <v>Southern United Hockey Club</v>
      </c>
      <c r="F216" t="s">
        <v>5</v>
      </c>
      <c r="G216">
        <v>6</v>
      </c>
      <c r="H216" t="str">
        <f>VLOOKUP(G216,[1]TEmplate!$M$38:$O$49,2,0)</f>
        <v>Essendon Hockey</v>
      </c>
      <c r="I216" t="str">
        <f>VLOOKUP(D216,[1]TEmplate!$M$38:$O$49,3,0)</f>
        <v>MBN</v>
      </c>
      <c r="J216" s="4">
        <f>VLOOKUP(B216,[1]TEmplate!$AC$38:$AE$57,3,0)</f>
        <v>46162</v>
      </c>
    </row>
    <row r="217" spans="1:10" x14ac:dyDescent="0.3">
      <c r="A217" s="5" t="s">
        <v>13</v>
      </c>
      <c r="B217">
        <v>6</v>
      </c>
      <c r="C217">
        <v>6</v>
      </c>
      <c r="D217">
        <v>3</v>
      </c>
      <c r="E217" t="str">
        <f>VLOOKUP(D217,[1]TEmplate!$M$38:$O$49,2,0)</f>
        <v>Monash University Hockey Club</v>
      </c>
      <c r="F217" t="s">
        <v>5</v>
      </c>
      <c r="G217">
        <v>5</v>
      </c>
      <c r="H217" t="str">
        <f>VLOOKUP(G217,[1]TEmplate!$M$38:$O$49,2,0)</f>
        <v>Camberwell Hockey Club</v>
      </c>
      <c r="I217" t="str">
        <f>VLOOKUP(D217,[1]TEmplate!$M$38:$O$49,3,0)</f>
        <v>MON</v>
      </c>
      <c r="J217" s="4">
        <f>VLOOKUP(B217,[1]TEmplate!$AC$38:$AE$57,3,0)</f>
        <v>46162</v>
      </c>
    </row>
    <row r="218" spans="1:10" x14ac:dyDescent="0.3">
      <c r="A218" s="5" t="s">
        <v>13</v>
      </c>
      <c r="B218">
        <v>7</v>
      </c>
      <c r="C218">
        <v>1</v>
      </c>
      <c r="D218">
        <v>5</v>
      </c>
      <c r="E218" t="str">
        <f>VLOOKUP(D218,[1]TEmplate!$M$38:$O$49,2,0)</f>
        <v>Camberwell Hockey Club</v>
      </c>
      <c r="F218" t="s">
        <v>5</v>
      </c>
      <c r="G218">
        <v>4</v>
      </c>
      <c r="H218" t="str">
        <f>VLOOKUP(G218,[1]TEmplate!$M$38:$O$49,2,0)</f>
        <v>Greensborough Hockey Club</v>
      </c>
      <c r="I218" t="str">
        <f>VLOOKUP(D218,[1]TEmplate!$M$38:$O$49,3,0)</f>
        <v>CAM</v>
      </c>
      <c r="J218" s="4">
        <f>VLOOKUP(B218,[1]TEmplate!$AC$38:$AE$57,3,0)</f>
        <v>46169</v>
      </c>
    </row>
    <row r="219" spans="1:10" x14ac:dyDescent="0.3">
      <c r="A219" s="5" t="s">
        <v>13</v>
      </c>
      <c r="B219">
        <v>7</v>
      </c>
      <c r="C219">
        <v>2</v>
      </c>
      <c r="D219">
        <v>6</v>
      </c>
      <c r="E219" t="str">
        <f>VLOOKUP(D219,[1]TEmplate!$M$38:$O$49,2,0)</f>
        <v>Essendon Hockey</v>
      </c>
      <c r="F219" t="s">
        <v>5</v>
      </c>
      <c r="G219">
        <v>3</v>
      </c>
      <c r="H219" t="str">
        <f>VLOOKUP(G219,[1]TEmplate!$M$38:$O$49,2,0)</f>
        <v>Monash University Hockey Club</v>
      </c>
      <c r="I219" t="str">
        <f>VLOOKUP(D219,[1]TEmplate!$M$38:$O$49,3,0)</f>
        <v>ESS</v>
      </c>
      <c r="J219" s="4">
        <f>VLOOKUP(B219,[1]TEmplate!$AC$38:$AE$57,3,0)</f>
        <v>46169</v>
      </c>
    </row>
    <row r="220" spans="1:10" x14ac:dyDescent="0.3">
      <c r="A220" s="5" t="s">
        <v>13</v>
      </c>
      <c r="B220">
        <v>7</v>
      </c>
      <c r="C220">
        <v>3</v>
      </c>
      <c r="D220">
        <v>7</v>
      </c>
      <c r="E220" t="str">
        <f>VLOOKUP(D220,[1]TEmplate!$M$38:$O$49,2,0)</f>
        <v>Hawthorn Hockey Club</v>
      </c>
      <c r="F220" t="s">
        <v>5</v>
      </c>
      <c r="G220">
        <v>2</v>
      </c>
      <c r="H220" t="str">
        <f>VLOOKUP(G220,[1]TEmplate!$M$38:$O$49,2,0)</f>
        <v>Southern United Hockey Club</v>
      </c>
      <c r="I220" t="str">
        <f>VLOOKUP(D220,[1]TEmplate!$M$38:$O$49,3,0)</f>
        <v>HAW</v>
      </c>
      <c r="J220" s="4">
        <f>VLOOKUP(B220,[1]TEmplate!$AC$38:$AE$57,3,0)</f>
        <v>46169</v>
      </c>
    </row>
    <row r="221" spans="1:10" x14ac:dyDescent="0.3">
      <c r="A221" s="5" t="s">
        <v>13</v>
      </c>
      <c r="B221">
        <v>7</v>
      </c>
      <c r="C221">
        <v>4</v>
      </c>
      <c r="D221">
        <v>8</v>
      </c>
      <c r="E221" t="str">
        <f>VLOOKUP(D221,[1]TEmplate!$M$38:$O$49,2,0)</f>
        <v>Brunswick Hockey Club</v>
      </c>
      <c r="F221" t="s">
        <v>5</v>
      </c>
      <c r="G221">
        <v>1</v>
      </c>
      <c r="H221" t="str">
        <f>VLOOKUP(G221,[1]TEmplate!$M$38:$O$49,2,0)</f>
        <v> Toorak East Malvern Hockey Club</v>
      </c>
      <c r="I221" t="str">
        <f>VLOOKUP(D221,[1]TEmplate!$M$38:$O$49,3,0)</f>
        <v>BRU</v>
      </c>
      <c r="J221" s="4">
        <f>VLOOKUP(B221,[1]TEmplate!$AC$38:$AE$57,3,0)</f>
        <v>46169</v>
      </c>
    </row>
    <row r="222" spans="1:10" x14ac:dyDescent="0.3">
      <c r="A222" s="5" t="s">
        <v>13</v>
      </c>
      <c r="B222">
        <v>7</v>
      </c>
      <c r="C222">
        <v>5</v>
      </c>
      <c r="D222">
        <v>9</v>
      </c>
      <c r="E222" t="str">
        <f>VLOOKUP(D222,[1]TEmplate!$M$38:$O$49,2,0)</f>
        <v>Footscray Hockey Club</v>
      </c>
      <c r="F222" t="s">
        <v>5</v>
      </c>
      <c r="G222">
        <v>11</v>
      </c>
      <c r="H222" t="str">
        <f>VLOOKUP(G222,[1]TEmplate!$M$38:$O$49,2,0)</f>
        <v>Bye</v>
      </c>
      <c r="I222" t="str">
        <f>VLOOKUP(D222,[1]TEmplate!$M$38:$O$49,3,0)</f>
        <v>FHC</v>
      </c>
      <c r="J222" s="4">
        <f>VLOOKUP(B222,[1]TEmplate!$AC$38:$AE$57,3,0)</f>
        <v>46169</v>
      </c>
    </row>
    <row r="223" spans="1:10" x14ac:dyDescent="0.3">
      <c r="A223" s="5" t="s">
        <v>13</v>
      </c>
      <c r="B223">
        <v>7</v>
      </c>
      <c r="C223">
        <v>6</v>
      </c>
      <c r="D223">
        <v>10</v>
      </c>
      <c r="E223" t="str">
        <f>VLOOKUP(D223,[1]TEmplate!$M$38:$O$49,2,0)</f>
        <v>MCC Hockey Section</v>
      </c>
      <c r="F223" t="s">
        <v>5</v>
      </c>
      <c r="G223">
        <v>12</v>
      </c>
      <c r="H223" t="str">
        <f>VLOOKUP(G223,[1]TEmplate!$M$38:$O$49,2,0)</f>
        <v>OEMHC MUDS</v>
      </c>
      <c r="I223" t="str">
        <f>VLOOKUP(D223,[1]TEmplate!$M$38:$O$49,3,0)</f>
        <v>ELW</v>
      </c>
      <c r="J223" s="4">
        <f>VLOOKUP(B223,[1]TEmplate!$AC$38:$AE$57,3,0)</f>
        <v>46169</v>
      </c>
    </row>
    <row r="224" spans="1:10" x14ac:dyDescent="0.3">
      <c r="A224" s="5" t="s">
        <v>13</v>
      </c>
      <c r="B224">
        <v>8</v>
      </c>
      <c r="C224">
        <v>1</v>
      </c>
      <c r="D224">
        <v>11</v>
      </c>
      <c r="E224" t="str">
        <f>VLOOKUP(D224,[1]TEmplate!$M$38:$O$49,2,0)</f>
        <v>Bye</v>
      </c>
      <c r="F224" t="s">
        <v>5</v>
      </c>
      <c r="G224">
        <v>10</v>
      </c>
      <c r="H224" t="str">
        <f>VLOOKUP(G224,[1]TEmplate!$M$38:$O$49,2,0)</f>
        <v>MCC Hockey Section</v>
      </c>
      <c r="I224">
        <f>VLOOKUP(D224,[1]TEmplate!$M$38:$O$49,3,0)</f>
        <v>0</v>
      </c>
      <c r="J224" s="4">
        <f>VLOOKUP(B224,[1]TEmplate!$AC$38:$AE$57,3,0)</f>
        <v>46176</v>
      </c>
    </row>
    <row r="225" spans="1:10" x14ac:dyDescent="0.3">
      <c r="A225" s="5" t="s">
        <v>13</v>
      </c>
      <c r="B225">
        <v>8</v>
      </c>
      <c r="C225">
        <v>2</v>
      </c>
      <c r="D225">
        <v>12</v>
      </c>
      <c r="E225" t="str">
        <f>VLOOKUP(D225,[1]TEmplate!$M$38:$O$49,2,0)</f>
        <v>OEMHC MUDS</v>
      </c>
      <c r="F225" t="s">
        <v>5</v>
      </c>
      <c r="G225">
        <v>5</v>
      </c>
      <c r="H225" t="str">
        <f>VLOOKUP(G225,[1]TEmplate!$M$38:$O$49,2,0)</f>
        <v>Camberwell Hockey Club</v>
      </c>
      <c r="I225" t="str">
        <f>VLOOKUP(D225,[1]TEmplate!$M$38:$O$49,3,0)</f>
        <v>HAW</v>
      </c>
      <c r="J225" s="4">
        <f>VLOOKUP(B225,[1]TEmplate!$AC$38:$AE$57,3,0)</f>
        <v>46176</v>
      </c>
    </row>
    <row r="226" spans="1:10" x14ac:dyDescent="0.3">
      <c r="A226" s="5" t="s">
        <v>13</v>
      </c>
      <c r="B226">
        <v>8</v>
      </c>
      <c r="C226">
        <v>3</v>
      </c>
      <c r="D226">
        <v>1</v>
      </c>
      <c r="E226" t="str">
        <f>VLOOKUP(D226,[1]TEmplate!$M$38:$O$49,2,0)</f>
        <v> Toorak East Malvern Hockey Club</v>
      </c>
      <c r="F226" t="s">
        <v>5</v>
      </c>
      <c r="G226">
        <v>9</v>
      </c>
      <c r="H226" t="str">
        <f>VLOOKUP(G226,[1]TEmplate!$M$38:$O$49,2,0)</f>
        <v>Footscray Hockey Club</v>
      </c>
      <c r="I226" t="str">
        <f>VLOOKUP(D226,[1]TEmplate!$M$38:$O$49,3,0)</f>
        <v>HAW</v>
      </c>
      <c r="J226" s="4">
        <f>VLOOKUP(B226,[1]TEmplate!$AC$38:$AE$57,3,0)</f>
        <v>46176</v>
      </c>
    </row>
    <row r="227" spans="1:10" x14ac:dyDescent="0.3">
      <c r="A227" s="5" t="s">
        <v>13</v>
      </c>
      <c r="B227">
        <v>8</v>
      </c>
      <c r="C227">
        <v>4</v>
      </c>
      <c r="D227">
        <v>2</v>
      </c>
      <c r="E227" t="str">
        <f>VLOOKUP(D227,[1]TEmplate!$M$38:$O$49,2,0)</f>
        <v>Southern United Hockey Club</v>
      </c>
      <c r="F227" t="s">
        <v>5</v>
      </c>
      <c r="G227">
        <v>8</v>
      </c>
      <c r="H227" t="str">
        <f>VLOOKUP(G227,[1]TEmplate!$M$38:$O$49,2,0)</f>
        <v>Brunswick Hockey Club</v>
      </c>
      <c r="I227" t="str">
        <f>VLOOKUP(D227,[1]TEmplate!$M$38:$O$49,3,0)</f>
        <v>MBN</v>
      </c>
      <c r="J227" s="4">
        <f>VLOOKUP(B227,[1]TEmplate!$AC$38:$AE$57,3,0)</f>
        <v>46176</v>
      </c>
    </row>
    <row r="228" spans="1:10" x14ac:dyDescent="0.3">
      <c r="A228" s="5" t="s">
        <v>13</v>
      </c>
      <c r="B228">
        <v>8</v>
      </c>
      <c r="C228">
        <v>5</v>
      </c>
      <c r="D228">
        <v>3</v>
      </c>
      <c r="E228" t="str">
        <f>VLOOKUP(D228,[1]TEmplate!$M$38:$O$49,2,0)</f>
        <v>Monash University Hockey Club</v>
      </c>
      <c r="F228" t="s">
        <v>5</v>
      </c>
      <c r="G228">
        <v>7</v>
      </c>
      <c r="H228" t="str">
        <f>VLOOKUP(G228,[1]TEmplate!$M$38:$O$49,2,0)</f>
        <v>Hawthorn Hockey Club</v>
      </c>
      <c r="I228" t="str">
        <f>VLOOKUP(D228,[1]TEmplate!$M$38:$O$49,3,0)</f>
        <v>MON</v>
      </c>
      <c r="J228" s="4">
        <f>VLOOKUP(B228,[1]TEmplate!$AC$38:$AE$57,3,0)</f>
        <v>46176</v>
      </c>
    </row>
    <row r="229" spans="1:10" x14ac:dyDescent="0.3">
      <c r="A229" s="5" t="s">
        <v>13</v>
      </c>
      <c r="B229">
        <v>8</v>
      </c>
      <c r="C229">
        <v>6</v>
      </c>
      <c r="D229">
        <v>4</v>
      </c>
      <c r="E229" t="str">
        <f>VLOOKUP(D229,[1]TEmplate!$M$38:$O$49,2,0)</f>
        <v>Greensborough Hockey Club</v>
      </c>
      <c r="F229" t="s">
        <v>5</v>
      </c>
      <c r="G229">
        <v>6</v>
      </c>
      <c r="H229" t="str">
        <f>VLOOKUP(G229,[1]TEmplate!$M$38:$O$49,2,0)</f>
        <v>Essendon Hockey</v>
      </c>
      <c r="I229" t="str">
        <f>VLOOKUP(D229,[1]TEmplate!$M$38:$O$49,3,0)</f>
        <v>GRN</v>
      </c>
      <c r="J229" s="4">
        <f>VLOOKUP(B229,[1]TEmplate!$AC$38:$AE$57,3,0)</f>
        <v>46176</v>
      </c>
    </row>
    <row r="230" spans="1:10" x14ac:dyDescent="0.3">
      <c r="A230" s="5" t="s">
        <v>13</v>
      </c>
      <c r="B230">
        <v>9</v>
      </c>
      <c r="C230">
        <v>1</v>
      </c>
      <c r="D230">
        <v>6</v>
      </c>
      <c r="E230" t="str">
        <f>VLOOKUP(D230,[1]TEmplate!$M$38:$O$49,2,0)</f>
        <v>Essendon Hockey</v>
      </c>
      <c r="F230" t="s">
        <v>5</v>
      </c>
      <c r="G230">
        <v>5</v>
      </c>
      <c r="H230" t="str">
        <f>VLOOKUP(G230,[1]TEmplate!$M$38:$O$49,2,0)</f>
        <v>Camberwell Hockey Club</v>
      </c>
      <c r="I230" t="str">
        <f>VLOOKUP(D230,[1]TEmplate!$M$38:$O$49,3,0)</f>
        <v>ESS</v>
      </c>
      <c r="J230" s="4">
        <f>VLOOKUP(B230,[1]TEmplate!$AC$38:$AE$57,3,0)</f>
        <v>46190</v>
      </c>
    </row>
    <row r="231" spans="1:10" x14ac:dyDescent="0.3">
      <c r="A231" s="5" t="s">
        <v>13</v>
      </c>
      <c r="B231">
        <v>9</v>
      </c>
      <c r="C231">
        <v>2</v>
      </c>
      <c r="D231">
        <v>7</v>
      </c>
      <c r="E231" t="str">
        <f>VLOOKUP(D231,[1]TEmplate!$M$38:$O$49,2,0)</f>
        <v>Hawthorn Hockey Club</v>
      </c>
      <c r="F231" t="s">
        <v>5</v>
      </c>
      <c r="G231">
        <v>4</v>
      </c>
      <c r="H231" t="str">
        <f>VLOOKUP(G231,[1]TEmplate!$M$38:$O$49,2,0)</f>
        <v>Greensborough Hockey Club</v>
      </c>
      <c r="I231" t="str">
        <f>VLOOKUP(D231,[1]TEmplate!$M$38:$O$49,3,0)</f>
        <v>HAW</v>
      </c>
      <c r="J231" s="4">
        <f>VLOOKUP(B231,[1]TEmplate!$AC$38:$AE$57,3,0)</f>
        <v>46190</v>
      </c>
    </row>
    <row r="232" spans="1:10" x14ac:dyDescent="0.3">
      <c r="A232" s="5" t="s">
        <v>13</v>
      </c>
      <c r="B232">
        <v>9</v>
      </c>
      <c r="C232">
        <v>3</v>
      </c>
      <c r="D232">
        <v>8</v>
      </c>
      <c r="E232" t="str">
        <f>VLOOKUP(D232,[1]TEmplate!$M$38:$O$49,2,0)</f>
        <v>Brunswick Hockey Club</v>
      </c>
      <c r="F232" t="s">
        <v>5</v>
      </c>
      <c r="G232">
        <v>3</v>
      </c>
      <c r="H232" t="str">
        <f>VLOOKUP(G232,[1]TEmplate!$M$38:$O$49,2,0)</f>
        <v>Monash University Hockey Club</v>
      </c>
      <c r="I232" t="str">
        <f>VLOOKUP(D232,[1]TEmplate!$M$38:$O$49,3,0)</f>
        <v>BRU</v>
      </c>
      <c r="J232" s="4">
        <f>VLOOKUP(B232,[1]TEmplate!$AC$38:$AE$57,3,0)</f>
        <v>46190</v>
      </c>
    </row>
    <row r="233" spans="1:10" x14ac:dyDescent="0.3">
      <c r="A233" s="5" t="s">
        <v>13</v>
      </c>
      <c r="B233">
        <v>9</v>
      </c>
      <c r="C233">
        <v>4</v>
      </c>
      <c r="D233">
        <v>9</v>
      </c>
      <c r="E233" t="str">
        <f>VLOOKUP(D233,[1]TEmplate!$M$38:$O$49,2,0)</f>
        <v>Footscray Hockey Club</v>
      </c>
      <c r="F233" t="s">
        <v>5</v>
      </c>
      <c r="G233">
        <v>2</v>
      </c>
      <c r="H233" t="str">
        <f>VLOOKUP(G233,[1]TEmplate!$M$38:$O$49,2,0)</f>
        <v>Southern United Hockey Club</v>
      </c>
      <c r="I233" t="str">
        <f>VLOOKUP(D233,[1]TEmplate!$M$38:$O$49,3,0)</f>
        <v>FHC</v>
      </c>
      <c r="J233" s="4">
        <f>VLOOKUP(B233,[1]TEmplate!$AC$38:$AE$57,3,0)</f>
        <v>46190</v>
      </c>
    </row>
    <row r="234" spans="1:10" x14ac:dyDescent="0.3">
      <c r="A234" s="5" t="s">
        <v>13</v>
      </c>
      <c r="B234">
        <v>9</v>
      </c>
      <c r="C234">
        <v>5</v>
      </c>
      <c r="D234">
        <v>10</v>
      </c>
      <c r="E234" t="str">
        <f>VLOOKUP(D234,[1]TEmplate!$M$38:$O$49,2,0)</f>
        <v>MCC Hockey Section</v>
      </c>
      <c r="F234" t="s">
        <v>5</v>
      </c>
      <c r="G234">
        <v>1</v>
      </c>
      <c r="H234" t="str">
        <f>VLOOKUP(G234,[1]TEmplate!$M$38:$O$49,2,0)</f>
        <v> Toorak East Malvern Hockey Club</v>
      </c>
      <c r="I234" t="str">
        <f>VLOOKUP(D234,[1]TEmplate!$M$38:$O$49,3,0)</f>
        <v>ELW</v>
      </c>
      <c r="J234" s="4">
        <f>VLOOKUP(B234,[1]TEmplate!$AC$38:$AE$57,3,0)</f>
        <v>46190</v>
      </c>
    </row>
    <row r="235" spans="1:10" x14ac:dyDescent="0.3">
      <c r="A235" s="5" t="s">
        <v>13</v>
      </c>
      <c r="B235">
        <v>9</v>
      </c>
      <c r="C235">
        <v>6</v>
      </c>
      <c r="D235">
        <v>11</v>
      </c>
      <c r="E235" t="str">
        <f>VLOOKUP(D235,[1]TEmplate!$M$38:$O$49,2,0)</f>
        <v>Bye</v>
      </c>
      <c r="F235" t="s">
        <v>5</v>
      </c>
      <c r="G235">
        <v>12</v>
      </c>
      <c r="H235" t="str">
        <f>VLOOKUP(G235,[1]TEmplate!$M$38:$O$49,2,0)</f>
        <v>OEMHC MUDS</v>
      </c>
      <c r="I235">
        <f>VLOOKUP(D235,[1]TEmplate!$M$38:$O$49,3,0)</f>
        <v>0</v>
      </c>
      <c r="J235" s="4">
        <f>VLOOKUP(B235,[1]TEmplate!$AC$38:$AE$57,3,0)</f>
        <v>46190</v>
      </c>
    </row>
    <row r="236" spans="1:10" x14ac:dyDescent="0.3">
      <c r="A236" s="5" t="s">
        <v>13</v>
      </c>
      <c r="B236">
        <v>10</v>
      </c>
      <c r="C236">
        <v>1</v>
      </c>
      <c r="D236">
        <v>6</v>
      </c>
      <c r="E236" t="str">
        <f>VLOOKUP(D236,[1]TEmplate!$M$38:$O$49,2,0)</f>
        <v>Essendon Hockey</v>
      </c>
      <c r="F236" t="s">
        <v>5</v>
      </c>
      <c r="G236">
        <v>12</v>
      </c>
      <c r="H236" t="str">
        <f>VLOOKUP(G236,[1]TEmplate!$M$38:$O$49,2,0)</f>
        <v>OEMHC MUDS</v>
      </c>
      <c r="I236" t="str">
        <f>VLOOKUP(D236,[1]TEmplate!$M$38:$O$49,3,0)</f>
        <v>ESS</v>
      </c>
      <c r="J236" s="4">
        <f>VLOOKUP(B236,[1]TEmplate!$AC$38:$AE$57,3,0)</f>
        <v>46197</v>
      </c>
    </row>
    <row r="237" spans="1:10" x14ac:dyDescent="0.3">
      <c r="A237" s="5" t="s">
        <v>13</v>
      </c>
      <c r="B237">
        <v>10</v>
      </c>
      <c r="C237">
        <v>2</v>
      </c>
      <c r="D237">
        <v>1</v>
      </c>
      <c r="E237" t="str">
        <f>VLOOKUP(D237,[1]TEmplate!$M$38:$O$49,2,0)</f>
        <v> Toorak East Malvern Hockey Club</v>
      </c>
      <c r="F237" t="s">
        <v>5</v>
      </c>
      <c r="G237">
        <v>11</v>
      </c>
      <c r="H237" t="str">
        <f>VLOOKUP(G237,[1]TEmplate!$M$38:$O$49,2,0)</f>
        <v>Bye</v>
      </c>
      <c r="I237" t="str">
        <f>VLOOKUP(D237,[1]TEmplate!$M$38:$O$49,3,0)</f>
        <v>HAW</v>
      </c>
      <c r="J237" s="4">
        <f>VLOOKUP(B237,[1]TEmplate!$AC$38:$AE$57,3,0)</f>
        <v>46197</v>
      </c>
    </row>
    <row r="238" spans="1:10" x14ac:dyDescent="0.3">
      <c r="A238" s="5" t="s">
        <v>13</v>
      </c>
      <c r="B238">
        <v>10</v>
      </c>
      <c r="C238">
        <v>3</v>
      </c>
      <c r="D238">
        <v>3</v>
      </c>
      <c r="E238" t="str">
        <f>VLOOKUP(D238,[1]TEmplate!$M$38:$O$49,2,0)</f>
        <v>Monash University Hockey Club</v>
      </c>
      <c r="F238" t="s">
        <v>5</v>
      </c>
      <c r="G238">
        <v>9</v>
      </c>
      <c r="H238" t="str">
        <f>VLOOKUP(G238,[1]TEmplate!$M$38:$O$49,2,0)</f>
        <v>Footscray Hockey Club</v>
      </c>
      <c r="I238" t="str">
        <f>VLOOKUP(D238,[1]TEmplate!$M$38:$O$49,3,0)</f>
        <v>MON</v>
      </c>
      <c r="J238" s="4">
        <f>VLOOKUP(B238,[1]TEmplate!$AC$38:$AE$57,3,0)</f>
        <v>46197</v>
      </c>
    </row>
    <row r="239" spans="1:10" x14ac:dyDescent="0.3">
      <c r="A239" s="5" t="s">
        <v>13</v>
      </c>
      <c r="B239">
        <v>10</v>
      </c>
      <c r="C239">
        <v>4</v>
      </c>
      <c r="D239">
        <v>4</v>
      </c>
      <c r="E239" t="str">
        <f>VLOOKUP(D239,[1]TEmplate!$M$38:$O$49,2,0)</f>
        <v>Greensborough Hockey Club</v>
      </c>
      <c r="F239" t="s">
        <v>5</v>
      </c>
      <c r="G239">
        <v>8</v>
      </c>
      <c r="H239" t="str">
        <f>VLOOKUP(G239,[1]TEmplate!$M$38:$O$49,2,0)</f>
        <v>Brunswick Hockey Club</v>
      </c>
      <c r="I239" t="str">
        <f>VLOOKUP(D239,[1]TEmplate!$M$38:$O$49,3,0)</f>
        <v>GRN</v>
      </c>
      <c r="J239" s="4">
        <f>VLOOKUP(B239,[1]TEmplate!$AC$38:$AE$57,3,0)</f>
        <v>46197</v>
      </c>
    </row>
    <row r="240" spans="1:10" x14ac:dyDescent="0.3">
      <c r="A240" s="5" t="s">
        <v>13</v>
      </c>
      <c r="B240">
        <v>10</v>
      </c>
      <c r="C240">
        <v>5</v>
      </c>
      <c r="D240">
        <v>5</v>
      </c>
      <c r="E240" t="str">
        <f>VLOOKUP(D240,[1]TEmplate!$M$38:$O$49,2,0)</f>
        <v>Camberwell Hockey Club</v>
      </c>
      <c r="F240" t="s">
        <v>5</v>
      </c>
      <c r="G240">
        <v>7</v>
      </c>
      <c r="H240" t="str">
        <f>VLOOKUP(G240,[1]TEmplate!$M$38:$O$49,2,0)</f>
        <v>Hawthorn Hockey Club</v>
      </c>
      <c r="I240" t="str">
        <f>VLOOKUP(D240,[1]TEmplate!$M$38:$O$49,3,0)</f>
        <v>CAM</v>
      </c>
      <c r="J240" s="4">
        <f>VLOOKUP(B240,[1]TEmplate!$AC$38:$AE$57,3,0)</f>
        <v>46197</v>
      </c>
    </row>
    <row r="241" spans="1:10" x14ac:dyDescent="0.3">
      <c r="A241" s="5" t="s">
        <v>13</v>
      </c>
      <c r="B241">
        <v>10</v>
      </c>
      <c r="C241">
        <v>6</v>
      </c>
      <c r="D241">
        <v>2</v>
      </c>
      <c r="E241" t="str">
        <f>VLOOKUP(D241,[1]TEmplate!$M$38:$O$49,2,0)</f>
        <v>Southern United Hockey Club</v>
      </c>
      <c r="F241" t="s">
        <v>5</v>
      </c>
      <c r="G241">
        <v>10</v>
      </c>
      <c r="H241" t="str">
        <f>VLOOKUP(G241,[1]TEmplate!$M$38:$O$49,2,0)</f>
        <v>MCC Hockey Section</v>
      </c>
      <c r="I241" t="str">
        <f>VLOOKUP(D241,[1]TEmplate!$M$38:$O$49,3,0)</f>
        <v>MBN</v>
      </c>
      <c r="J241" s="4">
        <f>VLOOKUP(B241,[1]TEmplate!$AC$38:$AE$57,3,0)</f>
        <v>46197</v>
      </c>
    </row>
    <row r="242" spans="1:10" x14ac:dyDescent="0.3">
      <c r="A242" s="5" t="s">
        <v>13</v>
      </c>
      <c r="B242">
        <v>11</v>
      </c>
      <c r="C242">
        <v>1</v>
      </c>
      <c r="D242">
        <v>7</v>
      </c>
      <c r="E242" t="str">
        <f>VLOOKUP(D242,[1]TEmplate!$M$38:$O$49,2,0)</f>
        <v>Hawthorn Hockey Club</v>
      </c>
      <c r="F242" t="s">
        <v>5</v>
      </c>
      <c r="G242">
        <v>6</v>
      </c>
      <c r="H242" t="str">
        <f>VLOOKUP(G242,[1]TEmplate!$M$38:$O$49,2,0)</f>
        <v>Essendon Hockey</v>
      </c>
      <c r="I242" t="str">
        <f>VLOOKUP(D242,[1]TEmplate!$M$38:$O$49,3,0)</f>
        <v>HAW</v>
      </c>
      <c r="J242" s="4">
        <f>VLOOKUP(B242,[1]TEmplate!$AC$38:$AE$57,3,0)</f>
        <v>46204</v>
      </c>
    </row>
    <row r="243" spans="1:10" x14ac:dyDescent="0.3">
      <c r="A243" s="5" t="s">
        <v>13</v>
      </c>
      <c r="B243">
        <v>11</v>
      </c>
      <c r="C243">
        <v>2</v>
      </c>
      <c r="D243">
        <v>8</v>
      </c>
      <c r="E243" t="str">
        <f>VLOOKUP(D243,[1]TEmplate!$M$38:$O$49,2,0)</f>
        <v>Brunswick Hockey Club</v>
      </c>
      <c r="F243" t="s">
        <v>5</v>
      </c>
      <c r="G243">
        <v>5</v>
      </c>
      <c r="H243" t="str">
        <f>VLOOKUP(G243,[1]TEmplate!$M$38:$O$49,2,0)</f>
        <v>Camberwell Hockey Club</v>
      </c>
      <c r="I243" t="str">
        <f>VLOOKUP(D243,[1]TEmplate!$M$38:$O$49,3,0)</f>
        <v>BRU</v>
      </c>
      <c r="J243" s="4">
        <f>VLOOKUP(B243,[1]TEmplate!$AC$38:$AE$57,3,0)</f>
        <v>46204</v>
      </c>
    </row>
    <row r="244" spans="1:10" x14ac:dyDescent="0.3">
      <c r="A244" s="5" t="s">
        <v>13</v>
      </c>
      <c r="B244">
        <v>11</v>
      </c>
      <c r="C244">
        <v>3</v>
      </c>
      <c r="D244">
        <v>9</v>
      </c>
      <c r="E244" t="str">
        <f>VLOOKUP(D244,[1]TEmplate!$M$38:$O$49,2,0)</f>
        <v>Footscray Hockey Club</v>
      </c>
      <c r="F244" t="s">
        <v>5</v>
      </c>
      <c r="G244">
        <v>4</v>
      </c>
      <c r="H244" t="str">
        <f>VLOOKUP(G244,[1]TEmplate!$M$38:$O$49,2,0)</f>
        <v>Greensborough Hockey Club</v>
      </c>
      <c r="I244" t="str">
        <f>VLOOKUP(D244,[1]TEmplate!$M$38:$O$49,3,0)</f>
        <v>FHC</v>
      </c>
      <c r="J244" s="4">
        <f>VLOOKUP(B244,[1]TEmplate!$AC$38:$AE$57,3,0)</f>
        <v>46204</v>
      </c>
    </row>
    <row r="245" spans="1:10" x14ac:dyDescent="0.3">
      <c r="A245" s="5" t="s">
        <v>13</v>
      </c>
      <c r="B245">
        <v>11</v>
      </c>
      <c r="C245">
        <v>4</v>
      </c>
      <c r="D245">
        <v>10</v>
      </c>
      <c r="E245" t="str">
        <f>VLOOKUP(D245,[1]TEmplate!$M$38:$O$49,2,0)</f>
        <v>MCC Hockey Section</v>
      </c>
      <c r="F245" t="s">
        <v>5</v>
      </c>
      <c r="G245">
        <v>3</v>
      </c>
      <c r="H245" t="str">
        <f>VLOOKUP(G245,[1]TEmplate!$M$38:$O$49,2,0)</f>
        <v>Monash University Hockey Club</v>
      </c>
      <c r="I245" t="str">
        <f>VLOOKUP(D245,[1]TEmplate!$M$38:$O$49,3,0)</f>
        <v>ELW</v>
      </c>
      <c r="J245" s="4">
        <f>VLOOKUP(B245,[1]TEmplate!$AC$38:$AE$57,3,0)</f>
        <v>46204</v>
      </c>
    </row>
    <row r="246" spans="1:10" x14ac:dyDescent="0.3">
      <c r="A246" s="5" t="s">
        <v>13</v>
      </c>
      <c r="B246">
        <v>11</v>
      </c>
      <c r="C246">
        <v>5</v>
      </c>
      <c r="D246">
        <v>11</v>
      </c>
      <c r="E246" t="str">
        <f>VLOOKUP(D246,[1]TEmplate!$M$38:$O$49,2,0)</f>
        <v>Bye</v>
      </c>
      <c r="F246" t="s">
        <v>5</v>
      </c>
      <c r="G246">
        <v>2</v>
      </c>
      <c r="H246" t="str">
        <f>VLOOKUP(G246,[1]TEmplate!$M$38:$O$49,2,0)</f>
        <v>Southern United Hockey Club</v>
      </c>
      <c r="I246">
        <f>VLOOKUP(D246,[1]TEmplate!$M$38:$O$49,3,0)</f>
        <v>0</v>
      </c>
      <c r="J246" s="4">
        <f>VLOOKUP(B246,[1]TEmplate!$AC$38:$AE$57,3,0)</f>
        <v>46204</v>
      </c>
    </row>
    <row r="247" spans="1:10" x14ac:dyDescent="0.3">
      <c r="A247" s="5" t="s">
        <v>13</v>
      </c>
      <c r="B247">
        <v>11</v>
      </c>
      <c r="C247">
        <v>6</v>
      </c>
      <c r="D247">
        <v>12</v>
      </c>
      <c r="E247" t="str">
        <f>VLOOKUP(D247,[1]TEmplate!$M$38:$O$49,2,0)</f>
        <v>OEMHC MUDS</v>
      </c>
      <c r="F247" t="s">
        <v>5</v>
      </c>
      <c r="G247">
        <v>1</v>
      </c>
      <c r="H247" t="str">
        <f>VLOOKUP(G247,[1]TEmplate!$M$38:$O$49,2,0)</f>
        <v> Toorak East Malvern Hockey Club</v>
      </c>
      <c r="I247" t="str">
        <f>VLOOKUP(D247,[1]TEmplate!$M$38:$O$49,3,0)</f>
        <v>HAW</v>
      </c>
      <c r="J247" s="4">
        <f>VLOOKUP(B247,[1]TEmplate!$AC$38:$AE$57,3,0)</f>
        <v>46204</v>
      </c>
    </row>
    <row r="248" spans="1:10" x14ac:dyDescent="0.3">
      <c r="A248" s="5" t="s">
        <v>13</v>
      </c>
      <c r="B248">
        <v>12</v>
      </c>
      <c r="C248">
        <v>1</v>
      </c>
      <c r="D248">
        <v>1</v>
      </c>
      <c r="E248" t="str">
        <f>VLOOKUP(D248,[1]TEmplate!$M$38:$O$49,2,0)</f>
        <v> Toorak East Malvern Hockey Club</v>
      </c>
      <c r="F248" t="s">
        <v>5</v>
      </c>
      <c r="G248">
        <v>2</v>
      </c>
      <c r="H248" t="str">
        <f>VLOOKUP(G248,[1]TEmplate!$M$38:$O$49,2,0)</f>
        <v>Southern United Hockey Club</v>
      </c>
      <c r="I248" t="str">
        <f>VLOOKUP(D248,[1]TEmplate!$M$38:$O$49,3,0)</f>
        <v>HAW</v>
      </c>
      <c r="J248" s="4">
        <f>VLOOKUP(B248,[1]TEmplate!$AC$38:$AE$57,3,0)</f>
        <v>46218</v>
      </c>
    </row>
    <row r="249" spans="1:10" x14ac:dyDescent="0.3">
      <c r="A249" s="5" t="s">
        <v>13</v>
      </c>
      <c r="B249">
        <v>12</v>
      </c>
      <c r="C249">
        <v>2</v>
      </c>
      <c r="D249">
        <v>11</v>
      </c>
      <c r="E249" t="str">
        <f>VLOOKUP(D249,[1]TEmplate!$M$38:$O$49,2,0)</f>
        <v>Bye</v>
      </c>
      <c r="F249" t="s">
        <v>5</v>
      </c>
      <c r="G249">
        <v>3</v>
      </c>
      <c r="H249" t="str">
        <f>VLOOKUP(G249,[1]TEmplate!$M$38:$O$49,2,0)</f>
        <v>Monash University Hockey Club</v>
      </c>
      <c r="I249">
        <f>VLOOKUP(D249,[1]TEmplate!$M$38:$O$49,3,0)</f>
        <v>0</v>
      </c>
      <c r="J249" s="4">
        <f>VLOOKUP(B249,[1]TEmplate!$AC$38:$AE$57,3,0)</f>
        <v>46218</v>
      </c>
    </row>
    <row r="250" spans="1:10" x14ac:dyDescent="0.3">
      <c r="A250" s="5" t="s">
        <v>13</v>
      </c>
      <c r="B250">
        <v>12</v>
      </c>
      <c r="C250">
        <v>3</v>
      </c>
      <c r="D250">
        <v>10</v>
      </c>
      <c r="E250" t="str">
        <f>VLOOKUP(D250,[1]TEmplate!$M$38:$O$49,2,0)</f>
        <v>MCC Hockey Section</v>
      </c>
      <c r="F250" t="s">
        <v>5</v>
      </c>
      <c r="G250">
        <v>4</v>
      </c>
      <c r="H250" t="str">
        <f>VLOOKUP(G250,[1]TEmplate!$M$38:$O$49,2,0)</f>
        <v>Greensborough Hockey Club</v>
      </c>
      <c r="I250" t="str">
        <f>VLOOKUP(D250,[1]TEmplate!$M$38:$O$49,3,0)</f>
        <v>ELW</v>
      </c>
      <c r="J250" s="4">
        <f>VLOOKUP(B250,[1]TEmplate!$AC$38:$AE$57,3,0)</f>
        <v>46218</v>
      </c>
    </row>
    <row r="251" spans="1:10" x14ac:dyDescent="0.3">
      <c r="A251" s="5" t="s">
        <v>13</v>
      </c>
      <c r="B251">
        <v>12</v>
      </c>
      <c r="C251">
        <v>4</v>
      </c>
      <c r="D251">
        <v>9</v>
      </c>
      <c r="E251" t="str">
        <f>VLOOKUP(D251,[1]TEmplate!$M$38:$O$49,2,0)</f>
        <v>Footscray Hockey Club</v>
      </c>
      <c r="F251" t="s">
        <v>5</v>
      </c>
      <c r="G251">
        <v>5</v>
      </c>
      <c r="H251" t="str">
        <f>VLOOKUP(G251,[1]TEmplate!$M$38:$O$49,2,0)</f>
        <v>Camberwell Hockey Club</v>
      </c>
      <c r="I251" t="str">
        <f>VLOOKUP(D251,[1]TEmplate!$M$38:$O$49,3,0)</f>
        <v>FHC</v>
      </c>
      <c r="J251" s="4">
        <f>VLOOKUP(B251,[1]TEmplate!$AC$38:$AE$57,3,0)</f>
        <v>46218</v>
      </c>
    </row>
    <row r="252" spans="1:10" x14ac:dyDescent="0.3">
      <c r="A252" s="5" t="s">
        <v>13</v>
      </c>
      <c r="B252">
        <v>12</v>
      </c>
      <c r="C252">
        <v>5</v>
      </c>
      <c r="D252">
        <v>8</v>
      </c>
      <c r="E252" t="str">
        <f>VLOOKUP(D252,[1]TEmplate!$M$38:$O$49,2,0)</f>
        <v>Brunswick Hockey Club</v>
      </c>
      <c r="F252" t="s">
        <v>5</v>
      </c>
      <c r="G252">
        <v>6</v>
      </c>
      <c r="H252" t="str">
        <f>VLOOKUP(G252,[1]TEmplate!$M$38:$O$49,2,0)</f>
        <v>Essendon Hockey</v>
      </c>
      <c r="I252" t="str">
        <f>VLOOKUP(D252,[1]TEmplate!$M$38:$O$49,3,0)</f>
        <v>BRU</v>
      </c>
      <c r="J252" s="4">
        <f>VLOOKUP(B252,[1]TEmplate!$AC$38:$AE$57,3,0)</f>
        <v>46218</v>
      </c>
    </row>
    <row r="253" spans="1:10" x14ac:dyDescent="0.3">
      <c r="A253" s="5" t="s">
        <v>13</v>
      </c>
      <c r="B253">
        <v>12</v>
      </c>
      <c r="C253">
        <v>6</v>
      </c>
      <c r="D253">
        <v>12</v>
      </c>
      <c r="E253" t="str">
        <f>VLOOKUP(D253,[1]TEmplate!$M$38:$O$49,2,0)</f>
        <v>OEMHC MUDS</v>
      </c>
      <c r="F253" t="s">
        <v>5</v>
      </c>
      <c r="G253">
        <v>7</v>
      </c>
      <c r="H253" t="str">
        <f>VLOOKUP(G253,[1]TEmplate!$M$38:$O$49,2,0)</f>
        <v>Hawthorn Hockey Club</v>
      </c>
      <c r="I253" t="str">
        <f>VLOOKUP(D253,[1]TEmplate!$M$38:$O$49,3,0)</f>
        <v>HAW</v>
      </c>
      <c r="J253" s="4">
        <f>VLOOKUP(B253,[1]TEmplate!$AC$38:$AE$57,3,0)</f>
        <v>46218</v>
      </c>
    </row>
    <row r="254" spans="1:10" x14ac:dyDescent="0.3">
      <c r="A254" s="5" t="s">
        <v>13</v>
      </c>
      <c r="B254">
        <v>13</v>
      </c>
      <c r="C254">
        <v>1</v>
      </c>
      <c r="D254">
        <v>7</v>
      </c>
      <c r="E254" t="str">
        <f>VLOOKUP(D254,[1]TEmplate!$M$38:$O$49,2,0)</f>
        <v>Hawthorn Hockey Club</v>
      </c>
      <c r="F254" t="s">
        <v>5</v>
      </c>
      <c r="G254">
        <v>8</v>
      </c>
      <c r="H254" t="str">
        <f>VLOOKUP(G254,[1]TEmplate!$M$38:$O$49,2,0)</f>
        <v>Brunswick Hockey Club</v>
      </c>
      <c r="I254" t="str">
        <f>VLOOKUP(D254,[1]TEmplate!$M$38:$O$49,3,0)</f>
        <v>HAW</v>
      </c>
      <c r="J254" s="4">
        <f>VLOOKUP(B254,[1]TEmplate!$AC$38:$AE$57,3,0)</f>
        <v>46225</v>
      </c>
    </row>
    <row r="255" spans="1:10" x14ac:dyDescent="0.3">
      <c r="A255" s="5" t="s">
        <v>13</v>
      </c>
      <c r="B255">
        <v>13</v>
      </c>
      <c r="C255">
        <v>2</v>
      </c>
      <c r="D255">
        <v>6</v>
      </c>
      <c r="E255" t="str">
        <f>VLOOKUP(D255,[1]TEmplate!$M$38:$O$49,2,0)</f>
        <v>Essendon Hockey</v>
      </c>
      <c r="F255" t="s">
        <v>5</v>
      </c>
      <c r="G255">
        <v>9</v>
      </c>
      <c r="H255" t="str">
        <f>VLOOKUP(G255,[1]TEmplate!$M$38:$O$49,2,0)</f>
        <v>Footscray Hockey Club</v>
      </c>
      <c r="I255" t="str">
        <f>VLOOKUP(D255,[1]TEmplate!$M$38:$O$49,3,0)</f>
        <v>ESS</v>
      </c>
      <c r="J255" s="4">
        <f>VLOOKUP(B255,[1]TEmplate!$AC$38:$AE$57,3,0)</f>
        <v>46225</v>
      </c>
    </row>
    <row r="256" spans="1:10" x14ac:dyDescent="0.3">
      <c r="A256" s="5" t="s">
        <v>13</v>
      </c>
      <c r="B256">
        <v>13</v>
      </c>
      <c r="C256">
        <v>3</v>
      </c>
      <c r="D256">
        <v>5</v>
      </c>
      <c r="E256" t="str">
        <f>VLOOKUP(D256,[1]TEmplate!$M$38:$O$49,2,0)</f>
        <v>Camberwell Hockey Club</v>
      </c>
      <c r="F256" t="s">
        <v>5</v>
      </c>
      <c r="G256">
        <v>10</v>
      </c>
      <c r="H256" t="str">
        <f>VLOOKUP(G256,[1]TEmplate!$M$38:$O$49,2,0)</f>
        <v>MCC Hockey Section</v>
      </c>
      <c r="I256" t="str">
        <f>VLOOKUP(D256,[1]TEmplate!$M$38:$O$49,3,0)</f>
        <v>CAM</v>
      </c>
      <c r="J256" s="4">
        <f>VLOOKUP(B256,[1]TEmplate!$AC$38:$AE$57,3,0)</f>
        <v>46225</v>
      </c>
    </row>
    <row r="257" spans="1:10" x14ac:dyDescent="0.3">
      <c r="A257" s="5" t="s">
        <v>13</v>
      </c>
      <c r="B257">
        <v>13</v>
      </c>
      <c r="C257">
        <v>4</v>
      </c>
      <c r="D257">
        <v>4</v>
      </c>
      <c r="E257" t="str">
        <f>VLOOKUP(D257,[1]TEmplate!$M$38:$O$49,2,0)</f>
        <v>Greensborough Hockey Club</v>
      </c>
      <c r="F257" t="s">
        <v>5</v>
      </c>
      <c r="G257">
        <v>11</v>
      </c>
      <c r="H257" t="str">
        <f>VLOOKUP(G257,[1]TEmplate!$M$38:$O$49,2,0)</f>
        <v>Bye</v>
      </c>
      <c r="I257" t="str">
        <f>VLOOKUP(D257,[1]TEmplate!$M$38:$O$49,3,0)</f>
        <v>GRN</v>
      </c>
      <c r="J257" s="4">
        <f>VLOOKUP(B257,[1]TEmplate!$AC$38:$AE$57,3,0)</f>
        <v>46225</v>
      </c>
    </row>
    <row r="258" spans="1:10" x14ac:dyDescent="0.3">
      <c r="A258" s="5" t="s">
        <v>13</v>
      </c>
      <c r="B258">
        <v>13</v>
      </c>
      <c r="C258">
        <v>5</v>
      </c>
      <c r="D258">
        <v>2</v>
      </c>
      <c r="E258" t="str">
        <f>VLOOKUP(D258,[1]TEmplate!$M$38:$O$49,2,0)</f>
        <v>Southern United Hockey Club</v>
      </c>
      <c r="F258" t="s">
        <v>5</v>
      </c>
      <c r="G258">
        <v>12</v>
      </c>
      <c r="H258" t="str">
        <f>VLOOKUP(G258,[1]TEmplate!$M$38:$O$49,2,0)</f>
        <v>OEMHC MUDS</v>
      </c>
      <c r="I258" t="str">
        <f>VLOOKUP(D258,[1]TEmplate!$M$38:$O$49,3,0)</f>
        <v>MBN</v>
      </c>
      <c r="J258" s="4">
        <f>VLOOKUP(B258,[1]TEmplate!$AC$38:$AE$57,3,0)</f>
        <v>46225</v>
      </c>
    </row>
    <row r="259" spans="1:10" x14ac:dyDescent="0.3">
      <c r="A259" s="5" t="s">
        <v>13</v>
      </c>
      <c r="B259">
        <v>13</v>
      </c>
      <c r="C259">
        <v>6</v>
      </c>
      <c r="D259">
        <v>3</v>
      </c>
      <c r="E259" t="str">
        <f>VLOOKUP(D259,[1]TEmplate!$M$38:$O$49,2,0)</f>
        <v>Monash University Hockey Club</v>
      </c>
      <c r="F259" t="s">
        <v>5</v>
      </c>
      <c r="G259">
        <v>1</v>
      </c>
      <c r="H259" t="str">
        <f>VLOOKUP(G259,[1]TEmplate!$M$38:$O$49,2,0)</f>
        <v> Toorak East Malvern Hockey Club</v>
      </c>
      <c r="I259" t="str">
        <f>VLOOKUP(D259,[1]TEmplate!$M$38:$O$49,3,0)</f>
        <v>MON</v>
      </c>
      <c r="J259" s="4">
        <f>VLOOKUP(B259,[1]TEmplate!$AC$38:$AE$57,3,0)</f>
        <v>46225</v>
      </c>
    </row>
    <row r="260" spans="1:10" x14ac:dyDescent="0.3">
      <c r="A260" s="5" t="s">
        <v>13</v>
      </c>
      <c r="B260">
        <v>14</v>
      </c>
      <c r="C260">
        <v>1</v>
      </c>
      <c r="D260">
        <v>2</v>
      </c>
      <c r="E260" t="str">
        <f>VLOOKUP(D260,[1]TEmplate!$M$38:$O$49,2,0)</f>
        <v>Southern United Hockey Club</v>
      </c>
      <c r="F260" t="s">
        <v>5</v>
      </c>
      <c r="G260">
        <v>3</v>
      </c>
      <c r="H260" t="str">
        <f>VLOOKUP(G260,[1]TEmplate!$M$38:$O$49,2,0)</f>
        <v>Monash University Hockey Club</v>
      </c>
      <c r="I260" t="str">
        <f>VLOOKUP(D260,[1]TEmplate!$M$38:$O$49,3,0)</f>
        <v>MBN</v>
      </c>
      <c r="J260" s="4">
        <f>VLOOKUP(B260,[1]TEmplate!$AC$38:$AE$57,3,0)</f>
        <v>46232</v>
      </c>
    </row>
    <row r="261" spans="1:10" x14ac:dyDescent="0.3">
      <c r="A261" s="5" t="s">
        <v>13</v>
      </c>
      <c r="B261">
        <v>14</v>
      </c>
      <c r="C261">
        <v>2</v>
      </c>
      <c r="D261">
        <v>1</v>
      </c>
      <c r="E261" t="str">
        <f>VLOOKUP(D261,[1]TEmplate!$M$38:$O$49,2,0)</f>
        <v> Toorak East Malvern Hockey Club</v>
      </c>
      <c r="F261" t="s">
        <v>5</v>
      </c>
      <c r="G261">
        <v>4</v>
      </c>
      <c r="H261" t="str">
        <f>VLOOKUP(G261,[1]TEmplate!$M$38:$O$49,2,0)</f>
        <v>Greensborough Hockey Club</v>
      </c>
      <c r="I261" t="str">
        <f>VLOOKUP(D261,[1]TEmplate!$M$38:$O$49,3,0)</f>
        <v>HAW</v>
      </c>
      <c r="J261" s="4">
        <f>VLOOKUP(B261,[1]TEmplate!$AC$38:$AE$57,3,0)</f>
        <v>46232</v>
      </c>
    </row>
    <row r="262" spans="1:10" x14ac:dyDescent="0.3">
      <c r="A262" s="5" t="s">
        <v>13</v>
      </c>
      <c r="B262">
        <v>14</v>
      </c>
      <c r="C262">
        <v>3</v>
      </c>
      <c r="D262">
        <v>11</v>
      </c>
      <c r="E262" t="str">
        <f>VLOOKUP(D262,[1]TEmplate!$M$38:$O$49,2,0)</f>
        <v>Bye</v>
      </c>
      <c r="F262" t="s">
        <v>5</v>
      </c>
      <c r="G262">
        <v>5</v>
      </c>
      <c r="H262" t="str">
        <f>VLOOKUP(G262,[1]TEmplate!$M$38:$O$49,2,0)</f>
        <v>Camberwell Hockey Club</v>
      </c>
      <c r="I262">
        <f>VLOOKUP(D262,[1]TEmplate!$M$38:$O$49,3,0)</f>
        <v>0</v>
      </c>
      <c r="J262" s="4">
        <f>VLOOKUP(B262,[1]TEmplate!$AC$38:$AE$57,3,0)</f>
        <v>46232</v>
      </c>
    </row>
    <row r="263" spans="1:10" x14ac:dyDescent="0.3">
      <c r="A263" s="5" t="s">
        <v>13</v>
      </c>
      <c r="B263">
        <v>14</v>
      </c>
      <c r="C263">
        <v>4</v>
      </c>
      <c r="D263">
        <v>10</v>
      </c>
      <c r="E263" t="str">
        <f>VLOOKUP(D263,[1]TEmplate!$M$38:$O$49,2,0)</f>
        <v>MCC Hockey Section</v>
      </c>
      <c r="F263" t="s">
        <v>5</v>
      </c>
      <c r="G263">
        <v>6</v>
      </c>
      <c r="H263" t="str">
        <f>VLOOKUP(G263,[1]TEmplate!$M$38:$O$49,2,0)</f>
        <v>Essendon Hockey</v>
      </c>
      <c r="I263" t="str">
        <f>VLOOKUP(D263,[1]TEmplate!$M$38:$O$49,3,0)</f>
        <v>ELW</v>
      </c>
      <c r="J263" s="4">
        <f>VLOOKUP(B263,[1]TEmplate!$AC$38:$AE$57,3,0)</f>
        <v>46232</v>
      </c>
    </row>
    <row r="264" spans="1:10" x14ac:dyDescent="0.3">
      <c r="A264" s="5" t="s">
        <v>13</v>
      </c>
      <c r="B264">
        <v>14</v>
      </c>
      <c r="C264">
        <v>5</v>
      </c>
      <c r="D264">
        <v>9</v>
      </c>
      <c r="E264" t="str">
        <f>VLOOKUP(D264,[1]TEmplate!$M$38:$O$49,2,0)</f>
        <v>Footscray Hockey Club</v>
      </c>
      <c r="F264" t="s">
        <v>5</v>
      </c>
      <c r="G264">
        <v>7</v>
      </c>
      <c r="H264" t="str">
        <f>VLOOKUP(G264,[1]TEmplate!$M$38:$O$49,2,0)</f>
        <v>Hawthorn Hockey Club</v>
      </c>
      <c r="I264" t="str">
        <f>VLOOKUP(D264,[1]TEmplate!$M$38:$O$49,3,0)</f>
        <v>FHC</v>
      </c>
      <c r="J264" s="4">
        <f>VLOOKUP(B264,[1]TEmplate!$AC$38:$AE$57,3,0)</f>
        <v>46232</v>
      </c>
    </row>
    <row r="265" spans="1:10" x14ac:dyDescent="0.3">
      <c r="A265" s="5" t="s">
        <v>13</v>
      </c>
      <c r="B265">
        <v>14</v>
      </c>
      <c r="C265">
        <v>6</v>
      </c>
      <c r="D265">
        <v>12</v>
      </c>
      <c r="E265" t="str">
        <f>VLOOKUP(D265,[1]TEmplate!$M$38:$O$49,2,0)</f>
        <v>OEMHC MUDS</v>
      </c>
      <c r="F265" t="s">
        <v>5</v>
      </c>
      <c r="G265">
        <v>8</v>
      </c>
      <c r="H265" t="str">
        <f>VLOOKUP(G265,[1]TEmplate!$M$38:$O$49,2,0)</f>
        <v>Brunswick Hockey Club</v>
      </c>
      <c r="I265" t="str">
        <f>VLOOKUP(D265,[1]TEmplate!$M$38:$O$49,3,0)</f>
        <v>HAW</v>
      </c>
      <c r="J265" s="4">
        <f>VLOOKUP(B265,[1]TEmplate!$AC$38:$AE$57,3,0)</f>
        <v>46232</v>
      </c>
    </row>
    <row r="266" spans="1:10" x14ac:dyDescent="0.3">
      <c r="A266" s="5" t="s">
        <v>13</v>
      </c>
      <c r="B266">
        <v>15</v>
      </c>
      <c r="C266">
        <v>1</v>
      </c>
      <c r="D266">
        <v>8</v>
      </c>
      <c r="E266" t="str">
        <f>VLOOKUP(D266,[1]TEmplate!$M$38:$O$49,2,0)</f>
        <v>Brunswick Hockey Club</v>
      </c>
      <c r="F266" t="s">
        <v>5</v>
      </c>
      <c r="G266">
        <v>9</v>
      </c>
      <c r="H266" t="str">
        <f>VLOOKUP(G266,[1]TEmplate!$M$38:$O$49,2,0)</f>
        <v>Footscray Hockey Club</v>
      </c>
      <c r="I266" t="str">
        <f>VLOOKUP(D266,[1]TEmplate!$M$38:$O$49,3,0)</f>
        <v>BRU</v>
      </c>
      <c r="J266" s="4">
        <f>VLOOKUP(B266,[1]TEmplate!$AC$38:$AE$57,3,0)</f>
        <v>46239</v>
      </c>
    </row>
    <row r="267" spans="1:10" x14ac:dyDescent="0.3">
      <c r="A267" s="5" t="s">
        <v>13</v>
      </c>
      <c r="B267">
        <v>15</v>
      </c>
      <c r="C267">
        <v>2</v>
      </c>
      <c r="D267">
        <v>7</v>
      </c>
      <c r="E267" t="str">
        <f>VLOOKUP(D267,[1]TEmplate!$M$38:$O$49,2,0)</f>
        <v>Hawthorn Hockey Club</v>
      </c>
      <c r="F267" t="s">
        <v>5</v>
      </c>
      <c r="G267">
        <v>10</v>
      </c>
      <c r="H267" t="str">
        <f>VLOOKUP(G267,[1]TEmplate!$M$38:$O$49,2,0)</f>
        <v>MCC Hockey Section</v>
      </c>
      <c r="I267" t="str">
        <f>VLOOKUP(D267,[1]TEmplate!$M$38:$O$49,3,0)</f>
        <v>HAW</v>
      </c>
      <c r="J267" s="4">
        <f>VLOOKUP(B267,[1]TEmplate!$AC$38:$AE$57,3,0)</f>
        <v>46239</v>
      </c>
    </row>
    <row r="268" spans="1:10" x14ac:dyDescent="0.3">
      <c r="A268" s="5" t="s">
        <v>13</v>
      </c>
      <c r="B268">
        <v>15</v>
      </c>
      <c r="C268">
        <v>3</v>
      </c>
      <c r="D268">
        <v>6</v>
      </c>
      <c r="E268" t="str">
        <f>VLOOKUP(D268,[1]TEmplate!$M$38:$O$49,2,0)</f>
        <v>Essendon Hockey</v>
      </c>
      <c r="F268" t="s">
        <v>5</v>
      </c>
      <c r="G268">
        <v>11</v>
      </c>
      <c r="H268" t="str">
        <f>VLOOKUP(G268,[1]TEmplate!$M$38:$O$49,2,0)</f>
        <v>Bye</v>
      </c>
      <c r="I268" t="str">
        <f>VLOOKUP(D268,[1]TEmplate!$M$38:$O$49,3,0)</f>
        <v>ESS</v>
      </c>
      <c r="J268" s="4">
        <f>VLOOKUP(B268,[1]TEmplate!$AC$38:$AE$57,3,0)</f>
        <v>46239</v>
      </c>
    </row>
    <row r="269" spans="1:10" x14ac:dyDescent="0.3">
      <c r="A269" s="5" t="s">
        <v>13</v>
      </c>
      <c r="B269">
        <v>15</v>
      </c>
      <c r="C269">
        <v>4</v>
      </c>
      <c r="D269">
        <v>3</v>
      </c>
      <c r="E269" t="str">
        <f>VLOOKUP(D269,[1]TEmplate!$M$38:$O$49,2,0)</f>
        <v>Monash University Hockey Club</v>
      </c>
      <c r="F269" t="s">
        <v>5</v>
      </c>
      <c r="G269">
        <v>12</v>
      </c>
      <c r="H269" t="str">
        <f>VLOOKUP(G269,[1]TEmplate!$M$38:$O$49,2,0)</f>
        <v>OEMHC MUDS</v>
      </c>
      <c r="I269" t="str">
        <f>VLOOKUP(D269,[1]TEmplate!$M$38:$O$49,3,0)</f>
        <v>MON</v>
      </c>
      <c r="J269" s="4">
        <f>VLOOKUP(B269,[1]TEmplate!$AC$38:$AE$57,3,0)</f>
        <v>46239</v>
      </c>
    </row>
    <row r="270" spans="1:10" x14ac:dyDescent="0.3">
      <c r="A270" s="5" t="s">
        <v>13</v>
      </c>
      <c r="B270">
        <v>15</v>
      </c>
      <c r="C270">
        <v>5</v>
      </c>
      <c r="D270">
        <v>5</v>
      </c>
      <c r="E270" t="str">
        <f>VLOOKUP(D270,[1]TEmplate!$M$38:$O$49,2,0)</f>
        <v>Camberwell Hockey Club</v>
      </c>
      <c r="F270" t="s">
        <v>5</v>
      </c>
      <c r="G270">
        <v>1</v>
      </c>
      <c r="H270" t="str">
        <f>VLOOKUP(G270,[1]TEmplate!$M$38:$O$49,2,0)</f>
        <v> Toorak East Malvern Hockey Club</v>
      </c>
      <c r="I270" t="str">
        <f>VLOOKUP(D270,[1]TEmplate!$M$38:$O$49,3,0)</f>
        <v>CAM</v>
      </c>
      <c r="J270" s="4">
        <f>VLOOKUP(B270,[1]TEmplate!$AC$38:$AE$57,3,0)</f>
        <v>46239</v>
      </c>
    </row>
    <row r="271" spans="1:10" x14ac:dyDescent="0.3">
      <c r="A271" s="5" t="s">
        <v>13</v>
      </c>
      <c r="B271">
        <v>15</v>
      </c>
      <c r="C271">
        <v>6</v>
      </c>
      <c r="D271">
        <v>4</v>
      </c>
      <c r="E271" t="str">
        <f>VLOOKUP(D271,[1]TEmplate!$M$38:$O$49,2,0)</f>
        <v>Greensborough Hockey Club</v>
      </c>
      <c r="F271" t="s">
        <v>5</v>
      </c>
      <c r="G271">
        <v>2</v>
      </c>
      <c r="H271" t="str">
        <f>VLOOKUP(G271,[1]TEmplate!$M$38:$O$49,2,0)</f>
        <v>Southern United Hockey Club</v>
      </c>
      <c r="I271" t="str">
        <f>VLOOKUP(D271,[1]TEmplate!$M$38:$O$49,3,0)</f>
        <v>GRN</v>
      </c>
      <c r="J271" s="4">
        <f>VLOOKUP(B271,[1]TEmplate!$AC$38:$AE$57,3,0)</f>
        <v>46239</v>
      </c>
    </row>
    <row r="272" spans="1:10" x14ac:dyDescent="0.3">
      <c r="A272" s="5" t="s">
        <v>13</v>
      </c>
      <c r="B272">
        <v>16</v>
      </c>
      <c r="C272">
        <v>1</v>
      </c>
      <c r="D272">
        <v>3</v>
      </c>
      <c r="E272" t="str">
        <f>VLOOKUP(D272,[1]TEmplate!$M$38:$O$49,2,0)</f>
        <v>Monash University Hockey Club</v>
      </c>
      <c r="F272" t="s">
        <v>5</v>
      </c>
      <c r="G272">
        <v>4</v>
      </c>
      <c r="H272" t="str">
        <f>VLOOKUP(G272,[1]TEmplate!$M$38:$O$49,2,0)</f>
        <v>Greensborough Hockey Club</v>
      </c>
      <c r="I272" t="str">
        <f>VLOOKUP(D272,[1]TEmplate!$M$38:$O$49,3,0)</f>
        <v>MON</v>
      </c>
      <c r="J272" s="4">
        <f>VLOOKUP(B272,[1]TEmplate!$AC$38:$AE$57,3,0)</f>
        <v>46246</v>
      </c>
    </row>
    <row r="273" spans="1:10" x14ac:dyDescent="0.3">
      <c r="A273" s="5" t="s">
        <v>13</v>
      </c>
      <c r="B273">
        <v>16</v>
      </c>
      <c r="C273">
        <v>2</v>
      </c>
      <c r="D273">
        <v>2</v>
      </c>
      <c r="E273" t="str">
        <f>VLOOKUP(D273,[1]TEmplate!$M$38:$O$49,2,0)</f>
        <v>Southern United Hockey Club</v>
      </c>
      <c r="F273" t="s">
        <v>5</v>
      </c>
      <c r="G273">
        <v>5</v>
      </c>
      <c r="H273" t="str">
        <f>VLOOKUP(G273,[1]TEmplate!$M$38:$O$49,2,0)</f>
        <v>Camberwell Hockey Club</v>
      </c>
      <c r="I273" t="str">
        <f>VLOOKUP(D273,[1]TEmplate!$M$38:$O$49,3,0)</f>
        <v>MBN</v>
      </c>
      <c r="J273" s="4">
        <f>VLOOKUP(B273,[1]TEmplate!$AC$38:$AE$57,3,0)</f>
        <v>46246</v>
      </c>
    </row>
    <row r="274" spans="1:10" x14ac:dyDescent="0.3">
      <c r="A274" s="5" t="s">
        <v>13</v>
      </c>
      <c r="B274">
        <v>16</v>
      </c>
      <c r="C274">
        <v>3</v>
      </c>
      <c r="D274">
        <v>1</v>
      </c>
      <c r="E274" t="str">
        <f>VLOOKUP(D274,[1]TEmplate!$M$38:$O$49,2,0)</f>
        <v> Toorak East Malvern Hockey Club</v>
      </c>
      <c r="F274" t="s">
        <v>5</v>
      </c>
      <c r="G274">
        <v>6</v>
      </c>
      <c r="H274" t="str">
        <f>VLOOKUP(G274,[1]TEmplate!$M$38:$O$49,2,0)</f>
        <v>Essendon Hockey</v>
      </c>
      <c r="I274" t="str">
        <f>VLOOKUP(D274,[1]TEmplate!$M$38:$O$49,3,0)</f>
        <v>HAW</v>
      </c>
      <c r="J274" s="4">
        <f>VLOOKUP(B274,[1]TEmplate!$AC$38:$AE$57,3,0)</f>
        <v>46246</v>
      </c>
    </row>
    <row r="275" spans="1:10" x14ac:dyDescent="0.3">
      <c r="A275" s="5" t="s">
        <v>13</v>
      </c>
      <c r="B275">
        <v>16</v>
      </c>
      <c r="C275">
        <v>4</v>
      </c>
      <c r="D275">
        <v>11</v>
      </c>
      <c r="E275" t="str">
        <f>VLOOKUP(D275,[1]TEmplate!$M$38:$O$49,2,0)</f>
        <v>Bye</v>
      </c>
      <c r="F275" t="s">
        <v>5</v>
      </c>
      <c r="G275">
        <v>7</v>
      </c>
      <c r="H275" t="str">
        <f>VLOOKUP(G275,[1]TEmplate!$M$38:$O$49,2,0)</f>
        <v>Hawthorn Hockey Club</v>
      </c>
      <c r="I275">
        <f>VLOOKUP(D275,[1]TEmplate!$M$38:$O$49,3,0)</f>
        <v>0</v>
      </c>
      <c r="J275" s="4">
        <f>VLOOKUP(B275,[1]TEmplate!$AC$38:$AE$57,3,0)</f>
        <v>46246</v>
      </c>
    </row>
    <row r="276" spans="1:10" x14ac:dyDescent="0.3">
      <c r="A276" s="5" t="s">
        <v>13</v>
      </c>
      <c r="B276">
        <v>16</v>
      </c>
      <c r="C276">
        <v>5</v>
      </c>
      <c r="D276">
        <v>10</v>
      </c>
      <c r="E276" t="str">
        <f>VLOOKUP(D276,[1]TEmplate!$M$38:$O$49,2,0)</f>
        <v>MCC Hockey Section</v>
      </c>
      <c r="F276" t="s">
        <v>5</v>
      </c>
      <c r="G276">
        <v>8</v>
      </c>
      <c r="H276" t="str">
        <f>VLOOKUP(G276,[1]TEmplate!$M$38:$O$49,2,0)</f>
        <v>Brunswick Hockey Club</v>
      </c>
      <c r="I276" t="str">
        <f>VLOOKUP(D276,[1]TEmplate!$M$38:$O$49,3,0)</f>
        <v>ELW</v>
      </c>
      <c r="J276" s="4">
        <f>VLOOKUP(B276,[1]TEmplate!$AC$38:$AE$57,3,0)</f>
        <v>46246</v>
      </c>
    </row>
    <row r="277" spans="1:10" x14ac:dyDescent="0.3">
      <c r="A277" s="5" t="s">
        <v>13</v>
      </c>
      <c r="B277">
        <v>16</v>
      </c>
      <c r="C277">
        <v>6</v>
      </c>
      <c r="D277">
        <v>12</v>
      </c>
      <c r="E277" t="str">
        <f>VLOOKUP(D277,[1]TEmplate!$M$38:$O$49,2,0)</f>
        <v>OEMHC MUDS</v>
      </c>
      <c r="F277" t="s">
        <v>5</v>
      </c>
      <c r="G277">
        <v>9</v>
      </c>
      <c r="H277" t="str">
        <f>VLOOKUP(G277,[1]TEmplate!$M$38:$O$49,2,0)</f>
        <v>Footscray Hockey Club</v>
      </c>
      <c r="I277" t="str">
        <f>VLOOKUP(D277,[1]TEmplate!$M$38:$O$49,3,0)</f>
        <v>HAW</v>
      </c>
      <c r="J277" s="4">
        <f>VLOOKUP(B277,[1]TEmplate!$AC$38:$AE$57,3,0)</f>
        <v>46246</v>
      </c>
    </row>
    <row r="278" spans="1:10" x14ac:dyDescent="0.3">
      <c r="A278" s="5" t="s">
        <v>13</v>
      </c>
      <c r="B278">
        <v>17</v>
      </c>
      <c r="C278">
        <v>1</v>
      </c>
      <c r="D278">
        <v>9</v>
      </c>
      <c r="E278" t="str">
        <f>VLOOKUP(D278,[1]TEmplate!$M$38:$O$49,2,0)</f>
        <v>Footscray Hockey Club</v>
      </c>
      <c r="F278" t="s">
        <v>5</v>
      </c>
      <c r="G278">
        <v>10</v>
      </c>
      <c r="H278" t="str">
        <f>VLOOKUP(G278,[1]TEmplate!$M$38:$O$49,2,0)</f>
        <v>MCC Hockey Section</v>
      </c>
      <c r="I278" t="str">
        <f>VLOOKUP(D278,[1]TEmplate!$M$38:$O$49,3,0)</f>
        <v>FHC</v>
      </c>
      <c r="J278" s="4">
        <f>VLOOKUP(B278,[1]TEmplate!$AC$38:$AE$57,3,0)</f>
        <v>46253</v>
      </c>
    </row>
    <row r="279" spans="1:10" x14ac:dyDescent="0.3">
      <c r="A279" s="5" t="s">
        <v>13</v>
      </c>
      <c r="B279">
        <v>17</v>
      </c>
      <c r="C279">
        <v>2</v>
      </c>
      <c r="D279">
        <v>8</v>
      </c>
      <c r="E279" t="str">
        <f>VLOOKUP(D279,[1]TEmplate!$M$38:$O$49,2,0)</f>
        <v>Brunswick Hockey Club</v>
      </c>
      <c r="F279" t="s">
        <v>5</v>
      </c>
      <c r="G279">
        <v>11</v>
      </c>
      <c r="H279" t="str">
        <f>VLOOKUP(G279,[1]TEmplate!$M$38:$O$49,2,0)</f>
        <v>Bye</v>
      </c>
      <c r="I279" t="str">
        <f>VLOOKUP(D279,[1]TEmplate!$M$38:$O$49,3,0)</f>
        <v>BRU</v>
      </c>
      <c r="J279" s="4">
        <f>VLOOKUP(B279,[1]TEmplate!$AC$38:$AE$57,3,0)</f>
        <v>46253</v>
      </c>
    </row>
    <row r="280" spans="1:10" x14ac:dyDescent="0.3">
      <c r="A280" s="5" t="s">
        <v>13</v>
      </c>
      <c r="B280">
        <v>17</v>
      </c>
      <c r="C280">
        <v>3</v>
      </c>
      <c r="D280">
        <v>4</v>
      </c>
      <c r="E280" t="str">
        <f>VLOOKUP(D280,[1]TEmplate!$M$38:$O$49,2,0)</f>
        <v>Greensborough Hockey Club</v>
      </c>
      <c r="F280" t="s">
        <v>5</v>
      </c>
      <c r="G280">
        <v>12</v>
      </c>
      <c r="H280" t="str">
        <f>VLOOKUP(G280,[1]TEmplate!$M$38:$O$49,2,0)</f>
        <v>OEMHC MUDS</v>
      </c>
      <c r="I280" t="str">
        <f>VLOOKUP(D280,[1]TEmplate!$M$38:$O$49,3,0)</f>
        <v>GRN</v>
      </c>
      <c r="J280" s="4">
        <f>VLOOKUP(B280,[1]TEmplate!$AC$38:$AE$57,3,0)</f>
        <v>46253</v>
      </c>
    </row>
    <row r="281" spans="1:10" x14ac:dyDescent="0.3">
      <c r="A281" s="5" t="s">
        <v>13</v>
      </c>
      <c r="B281">
        <v>17</v>
      </c>
      <c r="C281">
        <v>4</v>
      </c>
      <c r="D281">
        <v>7</v>
      </c>
      <c r="E281" t="str">
        <f>VLOOKUP(D281,[1]TEmplate!$M$38:$O$49,2,0)</f>
        <v>Hawthorn Hockey Club</v>
      </c>
      <c r="F281" t="s">
        <v>5</v>
      </c>
      <c r="G281">
        <v>1</v>
      </c>
      <c r="H281" t="str">
        <f>VLOOKUP(G281,[1]TEmplate!$M$38:$O$49,2,0)</f>
        <v> Toorak East Malvern Hockey Club</v>
      </c>
      <c r="I281" t="str">
        <f>VLOOKUP(D281,[1]TEmplate!$M$38:$O$49,3,0)</f>
        <v>HAW</v>
      </c>
      <c r="J281" s="4">
        <f>VLOOKUP(B281,[1]TEmplate!$AC$38:$AE$57,3,0)</f>
        <v>46253</v>
      </c>
    </row>
    <row r="282" spans="1:10" x14ac:dyDescent="0.3">
      <c r="A282" s="5" t="s">
        <v>13</v>
      </c>
      <c r="B282">
        <v>17</v>
      </c>
      <c r="C282">
        <v>5</v>
      </c>
      <c r="D282">
        <v>6</v>
      </c>
      <c r="E282" t="str">
        <f>VLOOKUP(D282,[1]TEmplate!$M$38:$O$49,2,0)</f>
        <v>Essendon Hockey</v>
      </c>
      <c r="F282" t="s">
        <v>5</v>
      </c>
      <c r="G282">
        <v>2</v>
      </c>
      <c r="H282" t="str">
        <f>VLOOKUP(G282,[1]TEmplate!$M$38:$O$49,2,0)</f>
        <v>Southern United Hockey Club</v>
      </c>
      <c r="I282" t="str">
        <f>VLOOKUP(D282,[1]TEmplate!$M$38:$O$49,3,0)</f>
        <v>ESS</v>
      </c>
      <c r="J282" s="4">
        <f>VLOOKUP(B282,[1]TEmplate!$AC$38:$AE$57,3,0)</f>
        <v>46253</v>
      </c>
    </row>
    <row r="283" spans="1:10" x14ac:dyDescent="0.3">
      <c r="A283" s="5" t="s">
        <v>13</v>
      </c>
      <c r="B283">
        <v>17</v>
      </c>
      <c r="C283">
        <v>6</v>
      </c>
      <c r="D283">
        <v>5</v>
      </c>
      <c r="E283" t="str">
        <f>VLOOKUP(D283,[1]TEmplate!$M$38:$O$49,2,0)</f>
        <v>Camberwell Hockey Club</v>
      </c>
      <c r="F283" t="s">
        <v>5</v>
      </c>
      <c r="G283">
        <v>3</v>
      </c>
      <c r="H283" t="str">
        <f>VLOOKUP(G283,[1]TEmplate!$M$38:$O$49,2,0)</f>
        <v>Monash University Hockey Club</v>
      </c>
      <c r="I283" t="str">
        <f>VLOOKUP(D283,[1]TEmplate!$M$38:$O$49,3,0)</f>
        <v>CAM</v>
      </c>
      <c r="J283" s="4">
        <f>VLOOKUP(B283,[1]TEmplate!$AC$38:$AE$57,3,0)</f>
        <v>46253</v>
      </c>
    </row>
    <row r="284" spans="1:10" x14ac:dyDescent="0.3">
      <c r="A284" s="5" t="s">
        <v>13</v>
      </c>
      <c r="B284">
        <v>18</v>
      </c>
      <c r="C284">
        <v>1</v>
      </c>
      <c r="D284">
        <v>4</v>
      </c>
      <c r="E284" t="str">
        <f>VLOOKUP(D284,[1]TEmplate!$M$38:$O$49,2,0)</f>
        <v>Greensborough Hockey Club</v>
      </c>
      <c r="F284" t="s">
        <v>5</v>
      </c>
      <c r="G284">
        <v>5</v>
      </c>
      <c r="H284" t="str">
        <f>VLOOKUP(G284,[1]TEmplate!$M$38:$O$49,2,0)</f>
        <v>Camberwell Hockey Club</v>
      </c>
      <c r="I284" t="str">
        <f>VLOOKUP(D284,[1]TEmplate!$M$38:$O$49,3,0)</f>
        <v>GRN</v>
      </c>
      <c r="J284" s="4">
        <f>VLOOKUP(B284,[1]TEmplate!$AC$38:$AE$57,3,0)</f>
        <v>46260</v>
      </c>
    </row>
    <row r="285" spans="1:10" x14ac:dyDescent="0.3">
      <c r="A285" s="5" t="s">
        <v>13</v>
      </c>
      <c r="B285">
        <v>18</v>
      </c>
      <c r="C285">
        <v>2</v>
      </c>
      <c r="D285">
        <v>3</v>
      </c>
      <c r="E285" t="str">
        <f>VLOOKUP(D285,[1]TEmplate!$M$38:$O$49,2,0)</f>
        <v>Monash University Hockey Club</v>
      </c>
      <c r="F285" t="s">
        <v>5</v>
      </c>
      <c r="G285">
        <v>6</v>
      </c>
      <c r="H285" t="str">
        <f>VLOOKUP(G285,[1]TEmplate!$M$38:$O$49,2,0)</f>
        <v>Essendon Hockey</v>
      </c>
      <c r="I285" t="str">
        <f>VLOOKUP(D285,[1]TEmplate!$M$38:$O$49,3,0)</f>
        <v>MON</v>
      </c>
      <c r="J285" s="4">
        <f>VLOOKUP(B285,[1]TEmplate!$AC$38:$AE$57,3,0)</f>
        <v>46260</v>
      </c>
    </row>
    <row r="286" spans="1:10" x14ac:dyDescent="0.3">
      <c r="A286" s="5" t="s">
        <v>13</v>
      </c>
      <c r="B286">
        <v>18</v>
      </c>
      <c r="C286">
        <v>3</v>
      </c>
      <c r="D286">
        <v>2</v>
      </c>
      <c r="E286" t="str">
        <f>VLOOKUP(D286,[1]TEmplate!$M$38:$O$49,2,0)</f>
        <v>Southern United Hockey Club</v>
      </c>
      <c r="F286" t="s">
        <v>5</v>
      </c>
      <c r="G286">
        <v>7</v>
      </c>
      <c r="H286" t="str">
        <f>VLOOKUP(G286,[1]TEmplate!$M$38:$O$49,2,0)</f>
        <v>Hawthorn Hockey Club</v>
      </c>
      <c r="I286" t="str">
        <f>VLOOKUP(D286,[1]TEmplate!$M$38:$O$49,3,0)</f>
        <v>MBN</v>
      </c>
      <c r="J286" s="4">
        <f>VLOOKUP(B286,[1]TEmplate!$AC$38:$AE$57,3,0)</f>
        <v>46260</v>
      </c>
    </row>
    <row r="287" spans="1:10" x14ac:dyDescent="0.3">
      <c r="A287" s="5" t="s">
        <v>13</v>
      </c>
      <c r="B287">
        <v>18</v>
      </c>
      <c r="C287">
        <v>4</v>
      </c>
      <c r="D287">
        <v>1</v>
      </c>
      <c r="E287" t="str">
        <f>VLOOKUP(D287,[1]TEmplate!$M$38:$O$49,2,0)</f>
        <v> Toorak East Malvern Hockey Club</v>
      </c>
      <c r="F287" t="s">
        <v>5</v>
      </c>
      <c r="G287">
        <v>8</v>
      </c>
      <c r="H287" t="str">
        <f>VLOOKUP(G287,[1]TEmplate!$M$38:$O$49,2,0)</f>
        <v>Brunswick Hockey Club</v>
      </c>
      <c r="I287" t="str">
        <f>VLOOKUP(D287,[1]TEmplate!$M$38:$O$49,3,0)</f>
        <v>HAW</v>
      </c>
      <c r="J287" s="4">
        <f>VLOOKUP(B287,[1]TEmplate!$AC$38:$AE$57,3,0)</f>
        <v>46260</v>
      </c>
    </row>
    <row r="288" spans="1:10" x14ac:dyDescent="0.3">
      <c r="A288" s="5" t="s">
        <v>13</v>
      </c>
      <c r="B288">
        <v>18</v>
      </c>
      <c r="C288">
        <v>5</v>
      </c>
      <c r="D288">
        <v>11</v>
      </c>
      <c r="E288" t="str">
        <f>VLOOKUP(D288,[1]TEmplate!$M$38:$O$49,2,0)</f>
        <v>Bye</v>
      </c>
      <c r="F288" t="s">
        <v>5</v>
      </c>
      <c r="G288">
        <v>9</v>
      </c>
      <c r="H288" t="str">
        <f>VLOOKUP(G288,[1]TEmplate!$M$38:$O$49,2,0)</f>
        <v>Footscray Hockey Club</v>
      </c>
      <c r="I288">
        <f>VLOOKUP(D288,[1]TEmplate!$M$38:$O$49,3,0)</f>
        <v>0</v>
      </c>
      <c r="J288" s="4">
        <f>VLOOKUP(B288,[1]TEmplate!$AC$38:$AE$57,3,0)</f>
        <v>46260</v>
      </c>
    </row>
    <row r="289" spans="1:10" x14ac:dyDescent="0.3">
      <c r="A289" s="5" t="s">
        <v>13</v>
      </c>
      <c r="B289">
        <v>18</v>
      </c>
      <c r="C289">
        <v>6</v>
      </c>
      <c r="D289">
        <v>12</v>
      </c>
      <c r="E289" t="str">
        <f>VLOOKUP(D289,[1]TEmplate!$M$38:$O$49,2,0)</f>
        <v>OEMHC MUDS</v>
      </c>
      <c r="F289" t="s">
        <v>5</v>
      </c>
      <c r="G289">
        <v>10</v>
      </c>
      <c r="H289" t="str">
        <f>VLOOKUP(G289,[1]TEmplate!$M$38:$O$49,2,0)</f>
        <v>MCC Hockey Section</v>
      </c>
      <c r="I289" t="str">
        <f>VLOOKUP(D289,[1]TEmplate!$M$38:$O$49,3,0)</f>
        <v>HAW</v>
      </c>
      <c r="J289" s="4">
        <f>VLOOKUP(B289,[1]TEmplate!$AC$38:$AE$57,3,0)</f>
        <v>46260</v>
      </c>
    </row>
    <row r="290" spans="1:10" x14ac:dyDescent="0.3">
      <c r="A290" s="5" t="s">
        <v>14</v>
      </c>
      <c r="B290">
        <v>1</v>
      </c>
      <c r="C290">
        <v>1</v>
      </c>
      <c r="D290">
        <v>2</v>
      </c>
      <c r="E290" t="str">
        <f>VLOOKUP(D290,[1]TEmplate!$A$54:$C$64,2,0)</f>
        <v>Brunswick Hockey Club</v>
      </c>
      <c r="F290" t="s">
        <v>5</v>
      </c>
      <c r="G290">
        <v>1</v>
      </c>
      <c r="H290" t="str">
        <f>VLOOKUP(G290,[1]TEmplate!$A$54:$C$64,2,0)</f>
        <v>Hockey Geelong</v>
      </c>
      <c r="I290" t="str">
        <f>VLOOKUP(D290,[1]TEmplate!$A$54:$C$64,3,0)</f>
        <v>BRU</v>
      </c>
      <c r="J290" s="4">
        <f>VLOOKUP(B290,[1]TEmplate!$AC$38:$AE$57,3,0)</f>
        <v>46127</v>
      </c>
    </row>
    <row r="291" spans="1:10" x14ac:dyDescent="0.3">
      <c r="A291" s="5" t="s">
        <v>14</v>
      </c>
      <c r="B291">
        <v>1</v>
      </c>
      <c r="C291">
        <v>2</v>
      </c>
      <c r="D291">
        <v>3</v>
      </c>
      <c r="E291" t="str">
        <f>VLOOKUP(D291,[1]TEmplate!$A$54:$C$64,2,0)</f>
        <v>Brunswick Hockey Club 2</v>
      </c>
      <c r="F291" t="s">
        <v>5</v>
      </c>
      <c r="G291">
        <v>9</v>
      </c>
      <c r="H291" t="str">
        <f>VLOOKUP(G291,[1]TEmplate!$A$54:$C$64,2,0)</f>
        <v>Footscray Hockey Club</v>
      </c>
      <c r="I291" t="str">
        <f>VLOOKUP(D291,[1]TEmplate!$A$54:$C$64,3,0)</f>
        <v>BRU</v>
      </c>
      <c r="J291" s="4">
        <f>VLOOKUP(B291,[1]TEmplate!$AC$38:$AE$57,3,0)</f>
        <v>46127</v>
      </c>
    </row>
    <row r="292" spans="1:10" x14ac:dyDescent="0.3">
      <c r="A292" s="5" t="s">
        <v>14</v>
      </c>
      <c r="B292">
        <v>1</v>
      </c>
      <c r="C292">
        <v>3</v>
      </c>
      <c r="D292">
        <v>4</v>
      </c>
      <c r="E292" t="str">
        <f>VLOOKUP(D292,[1]TEmplate!$A$54:$C$64,2,0)</f>
        <v>Yarra Hockey Club</v>
      </c>
      <c r="F292" t="s">
        <v>5</v>
      </c>
      <c r="G292">
        <v>8</v>
      </c>
      <c r="H292" t="str">
        <f>VLOOKUP(G292,[1]TEmplate!$A$54:$C$64,2,0)</f>
        <v>Essendon Hockey</v>
      </c>
      <c r="I292" t="str">
        <f>VLOOKUP(D292,[1]TEmplate!$A$54:$C$64,3,0)</f>
        <v>YAR</v>
      </c>
      <c r="J292" s="4">
        <f>VLOOKUP(B292,[1]TEmplate!$AC$38:$AE$57,3,0)</f>
        <v>46127</v>
      </c>
    </row>
    <row r="293" spans="1:10" x14ac:dyDescent="0.3">
      <c r="A293" s="5" t="s">
        <v>14</v>
      </c>
      <c r="B293">
        <v>1</v>
      </c>
      <c r="C293">
        <v>4</v>
      </c>
      <c r="D293">
        <v>5</v>
      </c>
      <c r="E293" t="str">
        <f>VLOOKUP(D293,[1]TEmplate!$A$54:$C$64,2,0)</f>
        <v>La Trobe University Hockey Club</v>
      </c>
      <c r="F293" t="s">
        <v>5</v>
      </c>
      <c r="G293">
        <v>7</v>
      </c>
      <c r="H293" t="str">
        <f>VLOOKUP(G293,[1]TEmplate!$A$54:$C$64,2,0)</f>
        <v>Bye</v>
      </c>
      <c r="I293" t="str">
        <f>VLOOKUP(D293,[1]TEmplate!$A$54:$C$64,3,0)</f>
        <v>LAT</v>
      </c>
      <c r="J293" s="4">
        <f>VLOOKUP(B293,[1]TEmplate!$AC$38:$AE$57,3,0)</f>
        <v>46127</v>
      </c>
    </row>
    <row r="294" spans="1:10" x14ac:dyDescent="0.3">
      <c r="A294" s="5" t="s">
        <v>14</v>
      </c>
      <c r="B294">
        <v>1</v>
      </c>
      <c r="C294">
        <v>5</v>
      </c>
      <c r="D294">
        <v>6</v>
      </c>
      <c r="E294" t="str">
        <f>VLOOKUP(D294,[1]TEmplate!$A$54:$C$64,2,0)</f>
        <v> PEGS Hockey Club</v>
      </c>
      <c r="F294" t="s">
        <v>5</v>
      </c>
      <c r="G294">
        <v>10</v>
      </c>
      <c r="H294" t="str">
        <f>VLOOKUP(G294,[1]TEmplate!$A$54:$C$64,2,0)</f>
        <v>KBH Stallions</v>
      </c>
      <c r="I294" t="str">
        <f>VLOOKUP(D294,[1]TEmplate!$A$54:$C$64,3,0)</f>
        <v>PEGS</v>
      </c>
      <c r="J294" s="4">
        <f>VLOOKUP(B294,[1]TEmplate!$AC$38:$AE$57,3,0)</f>
        <v>46127</v>
      </c>
    </row>
    <row r="295" spans="1:10" x14ac:dyDescent="0.3">
      <c r="A295" s="5" t="s">
        <v>14</v>
      </c>
      <c r="B295">
        <v>2</v>
      </c>
      <c r="C295">
        <v>1</v>
      </c>
      <c r="D295">
        <v>7</v>
      </c>
      <c r="E295" t="str">
        <f>VLOOKUP(D295,[1]TEmplate!$A$54:$C$64,2,0)</f>
        <v>Bye</v>
      </c>
      <c r="F295" t="s">
        <v>5</v>
      </c>
      <c r="G295">
        <v>6</v>
      </c>
      <c r="H295" t="str">
        <f>VLOOKUP(G295,[1]TEmplate!$A$54:$C$64,2,0)</f>
        <v> PEGS Hockey Club</v>
      </c>
      <c r="I295">
        <f>VLOOKUP(D295,[1]TEmplate!$A$54:$C$64,3,0)</f>
        <v>0</v>
      </c>
      <c r="J295" s="4">
        <f>VLOOKUP(B295,[1]TEmplate!$AC$38:$AE$57,3,0)</f>
        <v>46134</v>
      </c>
    </row>
    <row r="296" spans="1:10" x14ac:dyDescent="0.3">
      <c r="A296" s="5" t="s">
        <v>14</v>
      </c>
      <c r="B296">
        <v>2</v>
      </c>
      <c r="C296">
        <v>2</v>
      </c>
      <c r="D296">
        <v>8</v>
      </c>
      <c r="E296" t="str">
        <f>VLOOKUP(D296,[1]TEmplate!$A$54:$C$64,2,0)</f>
        <v>Essendon Hockey</v>
      </c>
      <c r="F296" t="s">
        <v>5</v>
      </c>
      <c r="G296">
        <v>5</v>
      </c>
      <c r="H296" t="str">
        <f>VLOOKUP(G296,[1]TEmplate!$A$54:$C$64,2,0)</f>
        <v>La Trobe University Hockey Club</v>
      </c>
      <c r="I296" t="str">
        <f>VLOOKUP(D296,[1]TEmplate!$A$54:$C$64,3,0)</f>
        <v>ESS</v>
      </c>
      <c r="J296" s="4">
        <f>VLOOKUP(B296,[1]TEmplate!$AC$38:$AE$57,3,0)</f>
        <v>46134</v>
      </c>
    </row>
    <row r="297" spans="1:10" x14ac:dyDescent="0.3">
      <c r="A297" s="5" t="s">
        <v>14</v>
      </c>
      <c r="B297">
        <v>2</v>
      </c>
      <c r="C297">
        <v>3</v>
      </c>
      <c r="D297">
        <v>9</v>
      </c>
      <c r="E297" t="str">
        <f>VLOOKUP(D297,[1]TEmplate!$A$54:$C$64,2,0)</f>
        <v>Footscray Hockey Club</v>
      </c>
      <c r="F297" t="s">
        <v>5</v>
      </c>
      <c r="G297">
        <v>4</v>
      </c>
      <c r="H297" t="str">
        <f>VLOOKUP(G297,[1]TEmplate!$A$54:$C$64,2,0)</f>
        <v>Yarra Hockey Club</v>
      </c>
      <c r="I297" t="str">
        <f>VLOOKUP(D297,[1]TEmplate!$A$54:$C$64,3,0)</f>
        <v>FHC</v>
      </c>
      <c r="J297" s="4">
        <f>VLOOKUP(B297,[1]TEmplate!$AC$38:$AE$57,3,0)</f>
        <v>46134</v>
      </c>
    </row>
    <row r="298" spans="1:10" x14ac:dyDescent="0.3">
      <c r="A298" s="5" t="s">
        <v>14</v>
      </c>
      <c r="B298">
        <v>2</v>
      </c>
      <c r="C298">
        <v>4</v>
      </c>
      <c r="D298">
        <v>10</v>
      </c>
      <c r="E298" t="str">
        <f>VLOOKUP(D298,[1]TEmplate!$A$54:$C$64,2,0)</f>
        <v>KBH Stallions</v>
      </c>
      <c r="F298" t="s">
        <v>5</v>
      </c>
      <c r="G298">
        <v>2</v>
      </c>
      <c r="H298" t="str">
        <f>VLOOKUP(G298,[1]TEmplate!$A$54:$C$64,2,0)</f>
        <v>Brunswick Hockey Club</v>
      </c>
      <c r="I298" t="str">
        <f>VLOOKUP(D298,[1]TEmplate!$A$54:$C$64,3,0)</f>
        <v>ELG</v>
      </c>
      <c r="J298" s="4">
        <f>VLOOKUP(B298,[1]TEmplate!$AC$38:$AE$57,3,0)</f>
        <v>46134</v>
      </c>
    </row>
    <row r="299" spans="1:10" x14ac:dyDescent="0.3">
      <c r="A299" s="5" t="s">
        <v>14</v>
      </c>
      <c r="B299">
        <v>2</v>
      </c>
      <c r="C299">
        <v>5</v>
      </c>
      <c r="D299">
        <v>1</v>
      </c>
      <c r="E299" t="str">
        <f>VLOOKUP(D299,[1]TEmplate!$A$54:$C$64,2,0)</f>
        <v>Hockey Geelong</v>
      </c>
      <c r="F299" t="s">
        <v>5</v>
      </c>
      <c r="G299">
        <v>3</v>
      </c>
      <c r="H299" t="str">
        <f>VLOOKUP(G299,[1]TEmplate!$A$54:$C$64,2,0)</f>
        <v>Brunswick Hockey Club 2</v>
      </c>
      <c r="I299" t="str">
        <f>VLOOKUP(D299,[1]TEmplate!$A$54:$C$64,3,0)</f>
        <v>GEL</v>
      </c>
      <c r="J299" s="4">
        <f>VLOOKUP(B299,[1]TEmplate!$AC$38:$AE$57,3,0)</f>
        <v>46134</v>
      </c>
    </row>
    <row r="300" spans="1:10" x14ac:dyDescent="0.3">
      <c r="A300" s="5" t="s">
        <v>14</v>
      </c>
      <c r="B300">
        <v>3</v>
      </c>
      <c r="C300">
        <v>1</v>
      </c>
      <c r="D300">
        <v>3</v>
      </c>
      <c r="E300" t="str">
        <f>VLOOKUP(D300,[1]TEmplate!$A$54:$C$64,2,0)</f>
        <v>Brunswick Hockey Club 2</v>
      </c>
      <c r="F300" t="s">
        <v>5</v>
      </c>
      <c r="G300">
        <v>2</v>
      </c>
      <c r="H300" t="str">
        <f>VLOOKUP(G300,[1]TEmplate!$A$54:$C$64,2,0)</f>
        <v>Brunswick Hockey Club</v>
      </c>
      <c r="I300" t="str">
        <f>VLOOKUP(D300,[1]TEmplate!$A$54:$C$64,3,0)</f>
        <v>BRU</v>
      </c>
      <c r="J300" s="4">
        <f>VLOOKUP(B300,[1]TEmplate!$AC$38:$AE$57,3,0)</f>
        <v>46141</v>
      </c>
    </row>
    <row r="301" spans="1:10" x14ac:dyDescent="0.3">
      <c r="A301" s="5" t="s">
        <v>14</v>
      </c>
      <c r="B301">
        <v>3</v>
      </c>
      <c r="C301">
        <v>2</v>
      </c>
      <c r="D301">
        <v>4</v>
      </c>
      <c r="E301" t="str">
        <f>VLOOKUP(D301,[1]TEmplate!$A$54:$C$64,2,0)</f>
        <v>Yarra Hockey Club</v>
      </c>
      <c r="F301" t="s">
        <v>5</v>
      </c>
      <c r="G301">
        <v>1</v>
      </c>
      <c r="H301" t="str">
        <f>VLOOKUP(G301,[1]TEmplate!$A$54:$C$64,2,0)</f>
        <v>Hockey Geelong</v>
      </c>
      <c r="I301" t="str">
        <f>VLOOKUP(D301,[1]TEmplate!$A$54:$C$64,3,0)</f>
        <v>YAR</v>
      </c>
      <c r="J301" s="4">
        <f>VLOOKUP(B301,[1]TEmplate!$AC$38:$AE$57,3,0)</f>
        <v>46141</v>
      </c>
    </row>
    <row r="302" spans="1:10" x14ac:dyDescent="0.3">
      <c r="A302" s="5" t="s">
        <v>14</v>
      </c>
      <c r="B302">
        <v>3</v>
      </c>
      <c r="C302">
        <v>3</v>
      </c>
      <c r="D302">
        <v>5</v>
      </c>
      <c r="E302" t="str">
        <f>VLOOKUP(D302,[1]TEmplate!$A$54:$C$64,2,0)</f>
        <v>La Trobe University Hockey Club</v>
      </c>
      <c r="F302" t="s">
        <v>5</v>
      </c>
      <c r="G302">
        <v>9</v>
      </c>
      <c r="H302" t="str">
        <f>VLOOKUP(G302,[1]TEmplate!$A$54:$C$64,2,0)</f>
        <v>Footscray Hockey Club</v>
      </c>
      <c r="I302" t="str">
        <f>VLOOKUP(D302,[1]TEmplate!$A$54:$C$64,3,0)</f>
        <v>LAT</v>
      </c>
      <c r="J302" s="4">
        <f>VLOOKUP(B302,[1]TEmplate!$AC$38:$AE$57,3,0)</f>
        <v>46141</v>
      </c>
    </row>
    <row r="303" spans="1:10" x14ac:dyDescent="0.3">
      <c r="A303" s="5" t="s">
        <v>14</v>
      </c>
      <c r="B303">
        <v>3</v>
      </c>
      <c r="C303">
        <v>4</v>
      </c>
      <c r="D303">
        <v>6</v>
      </c>
      <c r="E303" t="str">
        <f>VLOOKUP(D303,[1]TEmplate!$A$54:$C$64,2,0)</f>
        <v> PEGS Hockey Club</v>
      </c>
      <c r="F303" t="s">
        <v>5</v>
      </c>
      <c r="G303">
        <v>8</v>
      </c>
      <c r="H303" t="str">
        <f>VLOOKUP(G303,[1]TEmplate!$A$54:$C$64,2,0)</f>
        <v>Essendon Hockey</v>
      </c>
      <c r="I303" t="str">
        <f>VLOOKUP(D303,[1]TEmplate!$A$54:$C$64,3,0)</f>
        <v>PEGS</v>
      </c>
      <c r="J303" s="4">
        <f>VLOOKUP(B303,[1]TEmplate!$AC$38:$AE$57,3,0)</f>
        <v>46141</v>
      </c>
    </row>
    <row r="304" spans="1:10" x14ac:dyDescent="0.3">
      <c r="A304" s="5" t="s">
        <v>14</v>
      </c>
      <c r="B304">
        <v>3</v>
      </c>
      <c r="C304">
        <v>5</v>
      </c>
      <c r="D304">
        <v>7</v>
      </c>
      <c r="E304" t="str">
        <f>VLOOKUP(D304,[1]TEmplate!$A$54:$C$64,2,0)</f>
        <v>Bye</v>
      </c>
      <c r="F304" t="s">
        <v>5</v>
      </c>
      <c r="G304">
        <v>10</v>
      </c>
      <c r="H304" t="str">
        <f>VLOOKUP(G304,[1]TEmplate!$A$54:$C$64,2,0)</f>
        <v>KBH Stallions</v>
      </c>
      <c r="I304">
        <f>VLOOKUP(D304,[1]TEmplate!$A$54:$C$64,3,0)</f>
        <v>0</v>
      </c>
      <c r="J304" s="4">
        <f>VLOOKUP(B304,[1]TEmplate!$AC$38:$AE$57,3,0)</f>
        <v>46141</v>
      </c>
    </row>
    <row r="305" spans="1:10" x14ac:dyDescent="0.3">
      <c r="A305" s="5" t="s">
        <v>14</v>
      </c>
      <c r="B305">
        <v>4</v>
      </c>
      <c r="C305">
        <v>1</v>
      </c>
      <c r="D305">
        <v>8</v>
      </c>
      <c r="E305" t="str">
        <f>VLOOKUP(D305,[1]TEmplate!$A$54:$C$64,2,0)</f>
        <v>Essendon Hockey</v>
      </c>
      <c r="F305" t="s">
        <v>5</v>
      </c>
      <c r="G305">
        <v>7</v>
      </c>
      <c r="H305" t="str">
        <f>VLOOKUP(G305,[1]TEmplate!$A$54:$C$64,2,0)</f>
        <v>Bye</v>
      </c>
      <c r="I305" t="str">
        <f>VLOOKUP(D305,[1]TEmplate!$A$54:$C$64,3,0)</f>
        <v>ESS</v>
      </c>
      <c r="J305" s="4">
        <f>VLOOKUP(B305,[1]TEmplate!$AC$38:$AE$57,3,0)</f>
        <v>46148</v>
      </c>
    </row>
    <row r="306" spans="1:10" x14ac:dyDescent="0.3">
      <c r="A306" s="5" t="s">
        <v>14</v>
      </c>
      <c r="B306">
        <v>4</v>
      </c>
      <c r="C306">
        <v>2</v>
      </c>
      <c r="D306">
        <v>9</v>
      </c>
      <c r="E306" t="str">
        <f>VLOOKUP(D306,[1]TEmplate!$A$54:$C$64,2,0)</f>
        <v>Footscray Hockey Club</v>
      </c>
      <c r="F306" t="s">
        <v>5</v>
      </c>
      <c r="G306">
        <v>6</v>
      </c>
      <c r="H306" t="str">
        <f>VLOOKUP(G306,[1]TEmplate!$A$54:$C$64,2,0)</f>
        <v> PEGS Hockey Club</v>
      </c>
      <c r="I306" t="str">
        <f>VLOOKUP(D306,[1]TEmplate!$A$54:$C$64,3,0)</f>
        <v>FHC</v>
      </c>
      <c r="J306" s="4">
        <f>VLOOKUP(B306,[1]TEmplate!$AC$38:$AE$57,3,0)</f>
        <v>46148</v>
      </c>
    </row>
    <row r="307" spans="1:10" x14ac:dyDescent="0.3">
      <c r="A307" s="5" t="s">
        <v>14</v>
      </c>
      <c r="B307">
        <v>4</v>
      </c>
      <c r="C307">
        <v>3</v>
      </c>
      <c r="D307">
        <v>10</v>
      </c>
      <c r="E307" t="str">
        <f>VLOOKUP(D307,[1]TEmplate!$A$54:$C$64,2,0)</f>
        <v>KBH Stallions</v>
      </c>
      <c r="F307" t="s">
        <v>5</v>
      </c>
      <c r="G307">
        <v>3</v>
      </c>
      <c r="H307" t="str">
        <f>VLOOKUP(G307,[1]TEmplate!$A$54:$C$64,2,0)</f>
        <v>Brunswick Hockey Club 2</v>
      </c>
      <c r="I307" t="str">
        <f>VLOOKUP(D307,[1]TEmplate!$A$54:$C$64,3,0)</f>
        <v>ELG</v>
      </c>
      <c r="J307" s="4">
        <f>VLOOKUP(B307,[1]TEmplate!$AC$38:$AE$57,3,0)</f>
        <v>46148</v>
      </c>
    </row>
    <row r="308" spans="1:10" x14ac:dyDescent="0.3">
      <c r="A308" s="5" t="s">
        <v>14</v>
      </c>
      <c r="B308">
        <v>4</v>
      </c>
      <c r="C308">
        <v>4</v>
      </c>
      <c r="D308">
        <v>1</v>
      </c>
      <c r="E308" t="str">
        <f>VLOOKUP(D308,[1]TEmplate!$A$54:$C$64,2,0)</f>
        <v>Hockey Geelong</v>
      </c>
      <c r="F308" t="s">
        <v>5</v>
      </c>
      <c r="G308">
        <v>5</v>
      </c>
      <c r="H308" t="str">
        <f>VLOOKUP(G308,[1]TEmplate!$A$54:$C$64,2,0)</f>
        <v>La Trobe University Hockey Club</v>
      </c>
      <c r="I308" t="str">
        <f>VLOOKUP(D308,[1]TEmplate!$A$54:$C$64,3,0)</f>
        <v>GEL</v>
      </c>
      <c r="J308" s="4">
        <f>VLOOKUP(B308,[1]TEmplate!$AC$38:$AE$57,3,0)</f>
        <v>46148</v>
      </c>
    </row>
    <row r="309" spans="1:10" x14ac:dyDescent="0.3">
      <c r="A309" s="5" t="s">
        <v>14</v>
      </c>
      <c r="B309">
        <v>4</v>
      </c>
      <c r="C309">
        <v>5</v>
      </c>
      <c r="D309">
        <v>2</v>
      </c>
      <c r="E309" t="str">
        <f>VLOOKUP(D309,[1]TEmplate!$A$54:$C$64,2,0)</f>
        <v>Brunswick Hockey Club</v>
      </c>
      <c r="F309" t="s">
        <v>5</v>
      </c>
      <c r="G309">
        <v>4</v>
      </c>
      <c r="H309" t="str">
        <f>VLOOKUP(G309,[1]TEmplate!$A$54:$C$64,2,0)</f>
        <v>Yarra Hockey Club</v>
      </c>
      <c r="I309" t="str">
        <f>VLOOKUP(D309,[1]TEmplate!$A$54:$C$64,3,0)</f>
        <v>BRU</v>
      </c>
      <c r="J309" s="4">
        <f>VLOOKUP(B309,[1]TEmplate!$AC$38:$AE$57,3,0)</f>
        <v>46148</v>
      </c>
    </row>
    <row r="310" spans="1:10" x14ac:dyDescent="0.3">
      <c r="A310" s="5" t="s">
        <v>14</v>
      </c>
      <c r="B310">
        <v>5</v>
      </c>
      <c r="C310">
        <v>1</v>
      </c>
      <c r="D310">
        <v>4</v>
      </c>
      <c r="E310" t="str">
        <f>VLOOKUP(D310,[1]TEmplate!$A$54:$C$64,2,0)</f>
        <v>Yarra Hockey Club</v>
      </c>
      <c r="F310" t="s">
        <v>5</v>
      </c>
      <c r="G310">
        <v>3</v>
      </c>
      <c r="H310" t="str">
        <f>VLOOKUP(G310,[1]TEmplate!$A$54:$C$64,2,0)</f>
        <v>Brunswick Hockey Club 2</v>
      </c>
      <c r="I310" t="str">
        <f>VLOOKUP(D310,[1]TEmplate!$A$54:$C$64,3,0)</f>
        <v>YAR</v>
      </c>
      <c r="J310" s="4">
        <f>VLOOKUP(B310,[1]TEmplate!$AC$38:$AE$57,3,0)</f>
        <v>46155</v>
      </c>
    </row>
    <row r="311" spans="1:10" x14ac:dyDescent="0.3">
      <c r="A311" s="5" t="s">
        <v>14</v>
      </c>
      <c r="B311">
        <v>5</v>
      </c>
      <c r="C311">
        <v>2</v>
      </c>
      <c r="D311">
        <v>5</v>
      </c>
      <c r="E311" t="str">
        <f>VLOOKUP(D311,[1]TEmplate!$A$54:$C$64,2,0)</f>
        <v>La Trobe University Hockey Club</v>
      </c>
      <c r="F311" t="s">
        <v>5</v>
      </c>
      <c r="G311">
        <v>2</v>
      </c>
      <c r="H311" t="str">
        <f>VLOOKUP(G311,[1]TEmplate!$A$54:$C$64,2,0)</f>
        <v>Brunswick Hockey Club</v>
      </c>
      <c r="I311" t="str">
        <f>VLOOKUP(D311,[1]TEmplate!$A$54:$C$64,3,0)</f>
        <v>LAT</v>
      </c>
      <c r="J311" s="4">
        <f>VLOOKUP(B311,[1]TEmplate!$AC$38:$AE$57,3,0)</f>
        <v>46155</v>
      </c>
    </row>
    <row r="312" spans="1:10" x14ac:dyDescent="0.3">
      <c r="A312" s="5" t="s">
        <v>14</v>
      </c>
      <c r="B312">
        <v>5</v>
      </c>
      <c r="C312">
        <v>3</v>
      </c>
      <c r="D312">
        <v>6</v>
      </c>
      <c r="E312" t="str">
        <f>VLOOKUP(D312,[1]TEmplate!$A$54:$C$64,2,0)</f>
        <v> PEGS Hockey Club</v>
      </c>
      <c r="F312" t="s">
        <v>5</v>
      </c>
      <c r="G312">
        <v>1</v>
      </c>
      <c r="H312" t="str">
        <f>VLOOKUP(G312,[1]TEmplate!$A$54:$C$64,2,0)</f>
        <v>Hockey Geelong</v>
      </c>
      <c r="I312" t="str">
        <f>VLOOKUP(D312,[1]TEmplate!$A$54:$C$64,3,0)</f>
        <v>PEGS</v>
      </c>
      <c r="J312" s="4">
        <f>VLOOKUP(B312,[1]TEmplate!$AC$38:$AE$57,3,0)</f>
        <v>46155</v>
      </c>
    </row>
    <row r="313" spans="1:10" x14ac:dyDescent="0.3">
      <c r="A313" s="5" t="s">
        <v>14</v>
      </c>
      <c r="B313">
        <v>5</v>
      </c>
      <c r="C313">
        <v>4</v>
      </c>
      <c r="D313">
        <v>7</v>
      </c>
      <c r="E313" t="str">
        <f>VLOOKUP(D313,[1]TEmplate!$A$54:$C$64,2,0)</f>
        <v>Bye</v>
      </c>
      <c r="F313" t="s">
        <v>5</v>
      </c>
      <c r="G313">
        <v>9</v>
      </c>
      <c r="H313" t="str">
        <f>VLOOKUP(G313,[1]TEmplate!$A$54:$C$64,2,0)</f>
        <v>Footscray Hockey Club</v>
      </c>
      <c r="I313">
        <f>VLOOKUP(D313,[1]TEmplate!$A$54:$C$64,3,0)</f>
        <v>0</v>
      </c>
      <c r="J313" s="4">
        <f>VLOOKUP(B313,[1]TEmplate!$AC$38:$AE$57,3,0)</f>
        <v>46155</v>
      </c>
    </row>
    <row r="314" spans="1:10" x14ac:dyDescent="0.3">
      <c r="A314" s="5" t="s">
        <v>14</v>
      </c>
      <c r="B314">
        <v>5</v>
      </c>
      <c r="C314">
        <v>5</v>
      </c>
      <c r="D314">
        <v>8</v>
      </c>
      <c r="E314" t="str">
        <f>VLOOKUP(D314,[1]TEmplate!$A$54:$C$64,2,0)</f>
        <v>Essendon Hockey</v>
      </c>
      <c r="F314" t="s">
        <v>5</v>
      </c>
      <c r="G314">
        <v>10</v>
      </c>
      <c r="H314" t="str">
        <f>VLOOKUP(G314,[1]TEmplate!$A$54:$C$64,2,0)</f>
        <v>KBH Stallions</v>
      </c>
      <c r="I314" t="str">
        <f>VLOOKUP(D314,[1]TEmplate!$A$54:$C$64,3,0)</f>
        <v>ESS</v>
      </c>
      <c r="J314" s="4">
        <f>VLOOKUP(B314,[1]TEmplate!$AC$38:$AE$57,3,0)</f>
        <v>46155</v>
      </c>
    </row>
    <row r="315" spans="1:10" x14ac:dyDescent="0.3">
      <c r="A315" s="5" t="s">
        <v>14</v>
      </c>
      <c r="B315">
        <v>6</v>
      </c>
      <c r="C315">
        <v>1</v>
      </c>
      <c r="D315">
        <v>9</v>
      </c>
      <c r="E315" t="str">
        <f>VLOOKUP(D315,[1]TEmplate!$A$54:$C$64,2,0)</f>
        <v>Footscray Hockey Club</v>
      </c>
      <c r="F315" t="s">
        <v>5</v>
      </c>
      <c r="G315">
        <v>8</v>
      </c>
      <c r="H315" t="str">
        <f>VLOOKUP(G315,[1]TEmplate!$A$54:$C$64,2,0)</f>
        <v>Essendon Hockey</v>
      </c>
      <c r="I315" t="str">
        <f>VLOOKUP(D315,[1]TEmplate!$A$54:$C$64,3,0)</f>
        <v>FHC</v>
      </c>
      <c r="J315" s="4">
        <f>VLOOKUP(B315,[1]TEmplate!$AC$38:$AE$57,3,0)</f>
        <v>46162</v>
      </c>
    </row>
    <row r="316" spans="1:10" x14ac:dyDescent="0.3">
      <c r="A316" s="5" t="s">
        <v>14</v>
      </c>
      <c r="B316">
        <v>6</v>
      </c>
      <c r="C316">
        <v>2</v>
      </c>
      <c r="D316">
        <v>10</v>
      </c>
      <c r="E316" t="str">
        <f>VLOOKUP(D316,[1]TEmplate!$A$54:$C$64,2,0)</f>
        <v>KBH Stallions</v>
      </c>
      <c r="F316" t="s">
        <v>5</v>
      </c>
      <c r="G316">
        <v>4</v>
      </c>
      <c r="H316" t="str">
        <f>VLOOKUP(G316,[1]TEmplate!$A$54:$C$64,2,0)</f>
        <v>Yarra Hockey Club</v>
      </c>
      <c r="I316" t="str">
        <f>VLOOKUP(D316,[1]TEmplate!$A$54:$C$64,3,0)</f>
        <v>ELG</v>
      </c>
      <c r="J316" s="4">
        <f>VLOOKUP(B316,[1]TEmplate!$AC$38:$AE$57,3,0)</f>
        <v>46162</v>
      </c>
    </row>
    <row r="317" spans="1:10" x14ac:dyDescent="0.3">
      <c r="A317" s="5" t="s">
        <v>14</v>
      </c>
      <c r="B317">
        <v>6</v>
      </c>
      <c r="C317">
        <v>3</v>
      </c>
      <c r="D317">
        <v>1</v>
      </c>
      <c r="E317" t="str">
        <f>VLOOKUP(D317,[1]TEmplate!$A$54:$C$64,2,0)</f>
        <v>Hockey Geelong</v>
      </c>
      <c r="F317" t="s">
        <v>5</v>
      </c>
      <c r="G317">
        <v>7</v>
      </c>
      <c r="H317" t="str">
        <f>VLOOKUP(G317,[1]TEmplate!$A$54:$C$64,2,0)</f>
        <v>Bye</v>
      </c>
      <c r="I317" t="str">
        <f>VLOOKUP(D317,[1]TEmplate!$A$54:$C$64,3,0)</f>
        <v>GEL</v>
      </c>
      <c r="J317" s="4">
        <f>VLOOKUP(B317,[1]TEmplate!$AC$38:$AE$57,3,0)</f>
        <v>46162</v>
      </c>
    </row>
    <row r="318" spans="1:10" x14ac:dyDescent="0.3">
      <c r="A318" s="5" t="s">
        <v>14</v>
      </c>
      <c r="B318">
        <v>6</v>
      </c>
      <c r="C318">
        <v>4</v>
      </c>
      <c r="D318">
        <v>2</v>
      </c>
      <c r="E318" t="str">
        <f>VLOOKUP(D318,[1]TEmplate!$A$54:$C$64,2,0)</f>
        <v>Brunswick Hockey Club</v>
      </c>
      <c r="F318" t="s">
        <v>5</v>
      </c>
      <c r="G318">
        <v>6</v>
      </c>
      <c r="H318" t="str">
        <f>VLOOKUP(G318,[1]TEmplate!$A$54:$C$64,2,0)</f>
        <v> PEGS Hockey Club</v>
      </c>
      <c r="I318" t="str">
        <f>VLOOKUP(D318,[1]TEmplate!$A$54:$C$64,3,0)</f>
        <v>BRU</v>
      </c>
      <c r="J318" s="4">
        <f>VLOOKUP(B318,[1]TEmplate!$AC$38:$AE$57,3,0)</f>
        <v>46162</v>
      </c>
    </row>
    <row r="319" spans="1:10" x14ac:dyDescent="0.3">
      <c r="A319" s="5" t="s">
        <v>14</v>
      </c>
      <c r="B319">
        <v>6</v>
      </c>
      <c r="C319">
        <v>5</v>
      </c>
      <c r="D319">
        <v>3</v>
      </c>
      <c r="E319" t="str">
        <f>VLOOKUP(D319,[1]TEmplate!$A$54:$C$64,2,0)</f>
        <v>Brunswick Hockey Club 2</v>
      </c>
      <c r="F319" t="s">
        <v>5</v>
      </c>
      <c r="G319">
        <v>5</v>
      </c>
      <c r="H319" t="str">
        <f>VLOOKUP(G319,[1]TEmplate!$A$54:$C$64,2,0)</f>
        <v>La Trobe University Hockey Club</v>
      </c>
      <c r="I319" t="str">
        <f>VLOOKUP(D319,[1]TEmplate!$A$54:$C$64,3,0)</f>
        <v>BRU</v>
      </c>
      <c r="J319" s="4">
        <f>VLOOKUP(B319,[1]TEmplate!$AC$38:$AE$57,3,0)</f>
        <v>46162</v>
      </c>
    </row>
    <row r="320" spans="1:10" x14ac:dyDescent="0.3">
      <c r="A320" s="5" t="s">
        <v>14</v>
      </c>
      <c r="B320">
        <v>7</v>
      </c>
      <c r="C320">
        <v>1</v>
      </c>
      <c r="D320">
        <v>5</v>
      </c>
      <c r="E320" t="str">
        <f>VLOOKUP(D320,[1]TEmplate!$A$54:$C$64,2,0)</f>
        <v>La Trobe University Hockey Club</v>
      </c>
      <c r="F320" t="s">
        <v>5</v>
      </c>
      <c r="G320">
        <v>4</v>
      </c>
      <c r="H320" t="str">
        <f>VLOOKUP(G320,[1]TEmplate!$A$54:$C$64,2,0)</f>
        <v>Yarra Hockey Club</v>
      </c>
      <c r="I320" t="str">
        <f>VLOOKUP(D320,[1]TEmplate!$A$54:$C$64,3,0)</f>
        <v>LAT</v>
      </c>
      <c r="J320" s="4">
        <f>VLOOKUP(B320,[1]TEmplate!$AC$38:$AE$57,3,0)</f>
        <v>46169</v>
      </c>
    </row>
    <row r="321" spans="1:10" x14ac:dyDescent="0.3">
      <c r="A321" s="5" t="s">
        <v>14</v>
      </c>
      <c r="B321">
        <v>7</v>
      </c>
      <c r="C321">
        <v>2</v>
      </c>
      <c r="D321">
        <v>6</v>
      </c>
      <c r="E321" t="str">
        <f>VLOOKUP(D321,[1]TEmplate!$A$54:$C$64,2,0)</f>
        <v> PEGS Hockey Club</v>
      </c>
      <c r="F321" t="s">
        <v>5</v>
      </c>
      <c r="G321">
        <v>3</v>
      </c>
      <c r="H321" t="str">
        <f>VLOOKUP(G321,[1]TEmplate!$A$54:$C$64,2,0)</f>
        <v>Brunswick Hockey Club 2</v>
      </c>
      <c r="I321" t="str">
        <f>VLOOKUP(D321,[1]TEmplate!$A$54:$C$64,3,0)</f>
        <v>PEGS</v>
      </c>
      <c r="J321" s="4">
        <f>VLOOKUP(B321,[1]TEmplate!$AC$38:$AE$57,3,0)</f>
        <v>46169</v>
      </c>
    </row>
    <row r="322" spans="1:10" x14ac:dyDescent="0.3">
      <c r="A322" s="5" t="s">
        <v>14</v>
      </c>
      <c r="B322">
        <v>7</v>
      </c>
      <c r="C322">
        <v>3</v>
      </c>
      <c r="D322">
        <v>7</v>
      </c>
      <c r="E322" t="str">
        <f>VLOOKUP(D322,[1]TEmplate!$A$54:$C$64,2,0)</f>
        <v>Bye</v>
      </c>
      <c r="F322" t="s">
        <v>5</v>
      </c>
      <c r="G322">
        <v>2</v>
      </c>
      <c r="H322" t="str">
        <f>VLOOKUP(G322,[1]TEmplate!$A$54:$C$64,2,0)</f>
        <v>Brunswick Hockey Club</v>
      </c>
      <c r="I322">
        <f>VLOOKUP(D322,[1]TEmplate!$A$54:$C$64,3,0)</f>
        <v>0</v>
      </c>
      <c r="J322" s="4">
        <f>VLOOKUP(B322,[1]TEmplate!$AC$38:$AE$57,3,0)</f>
        <v>46169</v>
      </c>
    </row>
    <row r="323" spans="1:10" x14ac:dyDescent="0.3">
      <c r="A323" s="5" t="s">
        <v>14</v>
      </c>
      <c r="B323">
        <v>7</v>
      </c>
      <c r="C323">
        <v>4</v>
      </c>
      <c r="D323">
        <v>8</v>
      </c>
      <c r="E323" t="str">
        <f>VLOOKUP(D323,[1]TEmplate!$A$54:$C$64,2,0)</f>
        <v>Essendon Hockey</v>
      </c>
      <c r="F323" t="s">
        <v>5</v>
      </c>
      <c r="G323">
        <v>1</v>
      </c>
      <c r="H323" t="str">
        <f>VLOOKUP(G323,[1]TEmplate!$A$54:$C$64,2,0)</f>
        <v>Hockey Geelong</v>
      </c>
      <c r="I323" t="str">
        <f>VLOOKUP(D323,[1]TEmplate!$A$54:$C$64,3,0)</f>
        <v>ESS</v>
      </c>
      <c r="J323" s="4">
        <f>VLOOKUP(B323,[1]TEmplate!$AC$38:$AE$57,3,0)</f>
        <v>46169</v>
      </c>
    </row>
    <row r="324" spans="1:10" x14ac:dyDescent="0.3">
      <c r="A324" s="5" t="s">
        <v>14</v>
      </c>
      <c r="B324">
        <v>7</v>
      </c>
      <c r="C324">
        <v>5</v>
      </c>
      <c r="D324">
        <v>9</v>
      </c>
      <c r="E324" t="str">
        <f>VLOOKUP(D324,[1]TEmplate!$A$54:$C$64,2,0)</f>
        <v>Footscray Hockey Club</v>
      </c>
      <c r="F324" t="s">
        <v>5</v>
      </c>
      <c r="G324">
        <v>10</v>
      </c>
      <c r="H324" t="str">
        <f>VLOOKUP(G324,[1]TEmplate!$A$54:$C$64,2,0)</f>
        <v>KBH Stallions</v>
      </c>
      <c r="I324" t="str">
        <f>VLOOKUP(D324,[1]TEmplate!$A$54:$C$64,3,0)</f>
        <v>FHC</v>
      </c>
      <c r="J324" s="4">
        <f>VLOOKUP(B324,[1]TEmplate!$AC$38:$AE$57,3,0)</f>
        <v>46169</v>
      </c>
    </row>
    <row r="325" spans="1:10" x14ac:dyDescent="0.3">
      <c r="A325" s="5" t="s">
        <v>14</v>
      </c>
      <c r="B325">
        <v>8</v>
      </c>
      <c r="C325">
        <v>1</v>
      </c>
      <c r="D325">
        <v>5</v>
      </c>
      <c r="E325" t="str">
        <f>VLOOKUP(D325,[1]TEmplate!$A$54:$C$64,2,0)</f>
        <v>La Trobe University Hockey Club</v>
      </c>
      <c r="F325" t="s">
        <v>5</v>
      </c>
      <c r="G325">
        <v>10</v>
      </c>
      <c r="H325" t="str">
        <f>VLOOKUP(G325,[1]TEmplate!$A$54:$C$64,2,0)</f>
        <v>KBH Stallions</v>
      </c>
      <c r="I325" t="str">
        <f>VLOOKUP(D325,[1]TEmplate!$A$54:$C$64,3,0)</f>
        <v>LAT</v>
      </c>
      <c r="J325" s="4">
        <f>VLOOKUP(B325,[1]TEmplate!$AC$38:$AE$57,3,0)</f>
        <v>46176</v>
      </c>
    </row>
    <row r="326" spans="1:10" x14ac:dyDescent="0.3">
      <c r="A326" s="5" t="s">
        <v>14</v>
      </c>
      <c r="B326">
        <v>8</v>
      </c>
      <c r="C326">
        <v>2</v>
      </c>
      <c r="D326">
        <v>1</v>
      </c>
      <c r="E326" t="str">
        <f>VLOOKUP(D326,[1]TEmplate!$A$54:$C$64,2,0)</f>
        <v>Hockey Geelong</v>
      </c>
      <c r="F326" t="s">
        <v>5</v>
      </c>
      <c r="G326">
        <v>9</v>
      </c>
      <c r="H326" t="str">
        <f>VLOOKUP(G326,[1]TEmplate!$A$54:$C$64,2,0)</f>
        <v>Footscray Hockey Club</v>
      </c>
      <c r="I326" t="str">
        <f>VLOOKUP(D326,[1]TEmplate!$A$54:$C$64,3,0)</f>
        <v>GEL</v>
      </c>
      <c r="J326" s="4">
        <f>VLOOKUP(B326,[1]TEmplate!$AC$38:$AE$57,3,0)</f>
        <v>46176</v>
      </c>
    </row>
    <row r="327" spans="1:10" x14ac:dyDescent="0.3">
      <c r="A327" s="5" t="s">
        <v>14</v>
      </c>
      <c r="B327">
        <v>8</v>
      </c>
      <c r="C327">
        <v>3</v>
      </c>
      <c r="D327">
        <v>2</v>
      </c>
      <c r="E327" t="str">
        <f>VLOOKUP(D327,[1]TEmplate!$A$54:$C$64,2,0)</f>
        <v>Brunswick Hockey Club</v>
      </c>
      <c r="F327" t="s">
        <v>5</v>
      </c>
      <c r="G327">
        <v>8</v>
      </c>
      <c r="H327" t="str">
        <f>VLOOKUP(G327,[1]TEmplate!$A$54:$C$64,2,0)</f>
        <v>Essendon Hockey</v>
      </c>
      <c r="I327" t="str">
        <f>VLOOKUP(D327,[1]TEmplate!$A$54:$C$64,3,0)</f>
        <v>BRU</v>
      </c>
      <c r="J327" s="4">
        <f>VLOOKUP(B327,[1]TEmplate!$AC$38:$AE$57,3,0)</f>
        <v>46176</v>
      </c>
    </row>
    <row r="328" spans="1:10" x14ac:dyDescent="0.3">
      <c r="A328" s="5" t="s">
        <v>14</v>
      </c>
      <c r="B328">
        <v>8</v>
      </c>
      <c r="C328">
        <v>4</v>
      </c>
      <c r="D328">
        <v>3</v>
      </c>
      <c r="E328" t="str">
        <f>VLOOKUP(D328,[1]TEmplate!$A$54:$C$64,2,0)</f>
        <v>Brunswick Hockey Club 2</v>
      </c>
      <c r="F328" t="s">
        <v>5</v>
      </c>
      <c r="G328">
        <v>7</v>
      </c>
      <c r="H328" t="str">
        <f>VLOOKUP(G328,[1]TEmplate!$A$54:$C$64,2,0)</f>
        <v>Bye</v>
      </c>
      <c r="I328" t="str">
        <f>VLOOKUP(D328,[1]TEmplate!$A$54:$C$64,3,0)</f>
        <v>BRU</v>
      </c>
      <c r="J328" s="4">
        <f>VLOOKUP(B328,[1]TEmplate!$AC$38:$AE$57,3,0)</f>
        <v>46176</v>
      </c>
    </row>
    <row r="329" spans="1:10" x14ac:dyDescent="0.3">
      <c r="A329" s="5" t="s">
        <v>14</v>
      </c>
      <c r="B329">
        <v>8</v>
      </c>
      <c r="C329">
        <v>5</v>
      </c>
      <c r="D329">
        <v>4</v>
      </c>
      <c r="E329" t="str">
        <f>VLOOKUP(D329,[1]TEmplate!$A$54:$C$64,2,0)</f>
        <v>Yarra Hockey Club</v>
      </c>
      <c r="F329" t="s">
        <v>5</v>
      </c>
      <c r="G329">
        <v>6</v>
      </c>
      <c r="H329" t="str">
        <f>VLOOKUP(G329,[1]TEmplate!$A$54:$C$64,2,0)</f>
        <v> PEGS Hockey Club</v>
      </c>
      <c r="I329" t="str">
        <f>VLOOKUP(D329,[1]TEmplate!$A$54:$C$64,3,0)</f>
        <v>YAR</v>
      </c>
      <c r="J329" s="4">
        <f>VLOOKUP(B329,[1]TEmplate!$AC$38:$AE$57,3,0)</f>
        <v>46176</v>
      </c>
    </row>
    <row r="330" spans="1:10" x14ac:dyDescent="0.3">
      <c r="A330" s="5" t="s">
        <v>14</v>
      </c>
      <c r="B330">
        <v>9</v>
      </c>
      <c r="C330">
        <v>1</v>
      </c>
      <c r="D330">
        <v>6</v>
      </c>
      <c r="E330" t="str">
        <f>VLOOKUP(D330,[1]TEmplate!$A$54:$C$64,2,0)</f>
        <v> PEGS Hockey Club</v>
      </c>
      <c r="F330" t="s">
        <v>5</v>
      </c>
      <c r="G330">
        <v>5</v>
      </c>
      <c r="H330" t="str">
        <f>VLOOKUP(G330,[1]TEmplate!$A$54:$C$64,2,0)</f>
        <v>La Trobe University Hockey Club</v>
      </c>
      <c r="I330" t="str">
        <f>VLOOKUP(D330,[1]TEmplate!$A$54:$C$64,3,0)</f>
        <v>PEGS</v>
      </c>
      <c r="J330" s="4">
        <f>VLOOKUP(B330,[1]TEmplate!$AC$38:$AE$57,3,0)</f>
        <v>46190</v>
      </c>
    </row>
    <row r="331" spans="1:10" x14ac:dyDescent="0.3">
      <c r="A331" s="5" t="s">
        <v>14</v>
      </c>
      <c r="B331">
        <v>9</v>
      </c>
      <c r="C331">
        <v>2</v>
      </c>
      <c r="D331">
        <v>7</v>
      </c>
      <c r="E331" t="str">
        <f>VLOOKUP(D331,[1]TEmplate!$A$54:$C$64,2,0)</f>
        <v>Bye</v>
      </c>
      <c r="F331" t="s">
        <v>5</v>
      </c>
      <c r="G331">
        <v>4</v>
      </c>
      <c r="H331" t="str">
        <f>VLOOKUP(G331,[1]TEmplate!$A$54:$C$64,2,0)</f>
        <v>Yarra Hockey Club</v>
      </c>
      <c r="I331">
        <f>VLOOKUP(D331,[1]TEmplate!$A$54:$C$64,3,0)</f>
        <v>0</v>
      </c>
      <c r="J331" s="4">
        <f>VLOOKUP(B331,[1]TEmplate!$AC$38:$AE$57,3,0)</f>
        <v>46190</v>
      </c>
    </row>
    <row r="332" spans="1:10" x14ac:dyDescent="0.3">
      <c r="A332" s="5" t="s">
        <v>14</v>
      </c>
      <c r="B332">
        <v>9</v>
      </c>
      <c r="C332">
        <v>3</v>
      </c>
      <c r="D332">
        <v>8</v>
      </c>
      <c r="E332" t="str">
        <f>VLOOKUP(D332,[1]TEmplate!$A$54:$C$64,2,0)</f>
        <v>Essendon Hockey</v>
      </c>
      <c r="F332" t="s">
        <v>5</v>
      </c>
      <c r="G332">
        <v>3</v>
      </c>
      <c r="H332" t="str">
        <f>VLOOKUP(G332,[1]TEmplate!$A$54:$C$64,2,0)</f>
        <v>Brunswick Hockey Club 2</v>
      </c>
      <c r="I332" t="str">
        <f>VLOOKUP(D332,[1]TEmplate!$A$54:$C$64,3,0)</f>
        <v>ESS</v>
      </c>
      <c r="J332" s="4">
        <f>VLOOKUP(B332,[1]TEmplate!$AC$38:$AE$57,3,0)</f>
        <v>46190</v>
      </c>
    </row>
    <row r="333" spans="1:10" x14ac:dyDescent="0.3">
      <c r="A333" s="5" t="s">
        <v>14</v>
      </c>
      <c r="B333">
        <v>9</v>
      </c>
      <c r="C333">
        <v>4</v>
      </c>
      <c r="D333">
        <v>9</v>
      </c>
      <c r="E333" t="str">
        <f>VLOOKUP(D333,[1]TEmplate!$A$54:$C$64,2,0)</f>
        <v>Footscray Hockey Club</v>
      </c>
      <c r="F333" t="s">
        <v>5</v>
      </c>
      <c r="G333">
        <v>2</v>
      </c>
      <c r="H333" t="str">
        <f>VLOOKUP(G333,[1]TEmplate!$A$54:$C$64,2,0)</f>
        <v>Brunswick Hockey Club</v>
      </c>
      <c r="I333" t="str">
        <f>VLOOKUP(D333,[1]TEmplate!$A$54:$C$64,3,0)</f>
        <v>FHC</v>
      </c>
      <c r="J333" s="4">
        <f>VLOOKUP(B333,[1]TEmplate!$AC$38:$AE$57,3,0)</f>
        <v>46190</v>
      </c>
    </row>
    <row r="334" spans="1:10" x14ac:dyDescent="0.3">
      <c r="A334" s="5" t="s">
        <v>14</v>
      </c>
      <c r="B334">
        <v>9</v>
      </c>
      <c r="C334">
        <v>5</v>
      </c>
      <c r="D334">
        <v>10</v>
      </c>
      <c r="E334" t="str">
        <f>VLOOKUP(D334,[1]TEmplate!$A$54:$C$64,2,0)</f>
        <v>KBH Stallions</v>
      </c>
      <c r="F334" t="s">
        <v>5</v>
      </c>
      <c r="G334">
        <v>1</v>
      </c>
      <c r="H334" t="str">
        <f>VLOOKUP(G334,[1]TEmplate!$A$54:$C$64,2,0)</f>
        <v>Hockey Geelong</v>
      </c>
      <c r="I334" t="str">
        <f>VLOOKUP(D334,[1]TEmplate!$A$54:$C$64,3,0)</f>
        <v>ELG</v>
      </c>
      <c r="J334" s="4">
        <f>VLOOKUP(B334,[1]TEmplate!$AC$38:$AE$57,3,0)</f>
        <v>46190</v>
      </c>
    </row>
    <row r="335" spans="1:10" x14ac:dyDescent="0.3">
      <c r="A335" s="5" t="s">
        <v>14</v>
      </c>
      <c r="B335">
        <v>10</v>
      </c>
      <c r="C335">
        <v>1</v>
      </c>
      <c r="D335">
        <v>1</v>
      </c>
      <c r="E335" t="str">
        <f>VLOOKUP(D335,[1]TEmplate!$A$54:$C$64,2,0)</f>
        <v>Hockey Geelong</v>
      </c>
      <c r="F335" t="s">
        <v>5</v>
      </c>
      <c r="G335">
        <v>2</v>
      </c>
      <c r="H335" t="str">
        <f>VLOOKUP(G335,[1]TEmplate!$A$54:$C$64,2,0)</f>
        <v>Brunswick Hockey Club</v>
      </c>
      <c r="I335" t="str">
        <f>VLOOKUP(D335,[1]TEmplate!$A$54:$C$64,3,0)</f>
        <v>GEL</v>
      </c>
      <c r="J335" s="4">
        <f>VLOOKUP(B335,[1]TEmplate!$AC$38:$AE$57,3,0)</f>
        <v>46197</v>
      </c>
    </row>
    <row r="336" spans="1:10" x14ac:dyDescent="0.3">
      <c r="A336" s="5" t="s">
        <v>14</v>
      </c>
      <c r="B336">
        <v>10</v>
      </c>
      <c r="C336">
        <v>2</v>
      </c>
      <c r="D336">
        <v>9</v>
      </c>
      <c r="E336" t="str">
        <f>VLOOKUP(D336,[1]TEmplate!$A$54:$C$64,2,0)</f>
        <v>Footscray Hockey Club</v>
      </c>
      <c r="F336" t="s">
        <v>5</v>
      </c>
      <c r="G336">
        <v>3</v>
      </c>
      <c r="H336" t="str">
        <f>VLOOKUP(G336,[1]TEmplate!$A$54:$C$64,2,0)</f>
        <v>Brunswick Hockey Club 2</v>
      </c>
      <c r="I336" t="str">
        <f>VLOOKUP(D336,[1]TEmplate!$A$54:$C$64,3,0)</f>
        <v>FHC</v>
      </c>
      <c r="J336" s="4">
        <f>VLOOKUP(B336,[1]TEmplate!$AC$38:$AE$57,3,0)</f>
        <v>46197</v>
      </c>
    </row>
    <row r="337" spans="1:10" x14ac:dyDescent="0.3">
      <c r="A337" s="5" t="s">
        <v>14</v>
      </c>
      <c r="B337">
        <v>10</v>
      </c>
      <c r="C337">
        <v>3</v>
      </c>
      <c r="D337">
        <v>8</v>
      </c>
      <c r="E337" t="str">
        <f>VLOOKUP(D337,[1]TEmplate!$A$54:$C$64,2,0)</f>
        <v>Essendon Hockey</v>
      </c>
      <c r="F337" t="s">
        <v>5</v>
      </c>
      <c r="G337">
        <v>4</v>
      </c>
      <c r="H337" t="str">
        <f>VLOOKUP(G337,[1]TEmplate!$A$54:$C$64,2,0)</f>
        <v>Yarra Hockey Club</v>
      </c>
      <c r="I337" t="str">
        <f>VLOOKUP(D337,[1]TEmplate!$A$54:$C$64,3,0)</f>
        <v>ESS</v>
      </c>
      <c r="J337" s="4">
        <f>VLOOKUP(B337,[1]TEmplate!$AC$38:$AE$57,3,0)</f>
        <v>46197</v>
      </c>
    </row>
    <row r="338" spans="1:10" x14ac:dyDescent="0.3">
      <c r="A338" s="5" t="s">
        <v>14</v>
      </c>
      <c r="B338">
        <v>10</v>
      </c>
      <c r="C338">
        <v>4</v>
      </c>
      <c r="D338">
        <v>7</v>
      </c>
      <c r="E338" t="str">
        <f>VLOOKUP(D338,[1]TEmplate!$A$54:$C$64,2,0)</f>
        <v>Bye</v>
      </c>
      <c r="F338" t="s">
        <v>5</v>
      </c>
      <c r="G338">
        <v>5</v>
      </c>
      <c r="H338" t="str">
        <f>VLOOKUP(G338,[1]TEmplate!$A$54:$C$64,2,0)</f>
        <v>La Trobe University Hockey Club</v>
      </c>
      <c r="I338">
        <f>VLOOKUP(D338,[1]TEmplate!$A$54:$C$64,3,0)</f>
        <v>0</v>
      </c>
      <c r="J338" s="4">
        <f>VLOOKUP(B338,[1]TEmplate!$AC$38:$AE$57,3,0)</f>
        <v>46197</v>
      </c>
    </row>
    <row r="339" spans="1:10" x14ac:dyDescent="0.3">
      <c r="A339" s="5" t="s">
        <v>14</v>
      </c>
      <c r="B339">
        <v>10</v>
      </c>
      <c r="C339">
        <v>5</v>
      </c>
      <c r="D339">
        <v>10</v>
      </c>
      <c r="E339" t="str">
        <f>VLOOKUP(D339,[1]TEmplate!$A$54:$C$64,2,0)</f>
        <v>KBH Stallions</v>
      </c>
      <c r="F339" t="s">
        <v>5</v>
      </c>
      <c r="G339">
        <v>6</v>
      </c>
      <c r="H339" t="str">
        <f>VLOOKUP(G339,[1]TEmplate!$A$54:$C$64,2,0)</f>
        <v> PEGS Hockey Club</v>
      </c>
      <c r="I339" t="str">
        <f>VLOOKUP(D339,[1]TEmplate!$A$54:$C$64,3,0)</f>
        <v>ELG</v>
      </c>
      <c r="J339" s="4">
        <f>VLOOKUP(B339,[1]TEmplate!$AC$38:$AE$57,3,0)</f>
        <v>46197</v>
      </c>
    </row>
    <row r="340" spans="1:10" x14ac:dyDescent="0.3">
      <c r="A340" s="5" t="s">
        <v>14</v>
      </c>
      <c r="B340">
        <v>11</v>
      </c>
      <c r="C340">
        <v>1</v>
      </c>
      <c r="D340">
        <v>6</v>
      </c>
      <c r="E340" t="str">
        <f>VLOOKUP(D340,[1]TEmplate!$A$54:$C$64,2,0)</f>
        <v> PEGS Hockey Club</v>
      </c>
      <c r="F340" t="s">
        <v>5</v>
      </c>
      <c r="G340">
        <v>7</v>
      </c>
      <c r="H340" t="str">
        <f>VLOOKUP(G340,[1]TEmplate!$A$54:$C$64,2,0)</f>
        <v>Bye</v>
      </c>
      <c r="I340" t="str">
        <f>VLOOKUP(D340,[1]TEmplate!$A$54:$C$64,3,0)</f>
        <v>PEGS</v>
      </c>
      <c r="J340" s="4">
        <f>VLOOKUP(B340,[1]TEmplate!$AC$38:$AE$57,3,0)</f>
        <v>46204</v>
      </c>
    </row>
    <row r="341" spans="1:10" x14ac:dyDescent="0.3">
      <c r="A341" s="5" t="s">
        <v>14</v>
      </c>
      <c r="B341">
        <v>11</v>
      </c>
      <c r="C341">
        <v>2</v>
      </c>
      <c r="D341">
        <v>5</v>
      </c>
      <c r="E341" t="str">
        <f>VLOOKUP(D341,[1]TEmplate!$A$54:$C$64,2,0)</f>
        <v>La Trobe University Hockey Club</v>
      </c>
      <c r="F341" t="s">
        <v>5</v>
      </c>
      <c r="G341">
        <v>8</v>
      </c>
      <c r="H341" t="str">
        <f>VLOOKUP(G341,[1]TEmplate!$A$54:$C$64,2,0)</f>
        <v>Essendon Hockey</v>
      </c>
      <c r="I341" t="str">
        <f>VLOOKUP(D341,[1]TEmplate!$A$54:$C$64,3,0)</f>
        <v>LAT</v>
      </c>
      <c r="J341" s="4">
        <f>VLOOKUP(B341,[1]TEmplate!$AC$38:$AE$57,3,0)</f>
        <v>46204</v>
      </c>
    </row>
    <row r="342" spans="1:10" x14ac:dyDescent="0.3">
      <c r="A342" s="5" t="s">
        <v>14</v>
      </c>
      <c r="B342">
        <v>11</v>
      </c>
      <c r="C342">
        <v>3</v>
      </c>
      <c r="D342">
        <v>4</v>
      </c>
      <c r="E342" t="str">
        <f>VLOOKUP(D342,[1]TEmplate!$A$54:$C$64,2,0)</f>
        <v>Yarra Hockey Club</v>
      </c>
      <c r="F342" t="s">
        <v>5</v>
      </c>
      <c r="G342">
        <v>9</v>
      </c>
      <c r="H342" t="str">
        <f>VLOOKUP(G342,[1]TEmplate!$A$54:$C$64,2,0)</f>
        <v>Footscray Hockey Club</v>
      </c>
      <c r="I342" t="str">
        <f>VLOOKUP(D342,[1]TEmplate!$A$54:$C$64,3,0)</f>
        <v>YAR</v>
      </c>
      <c r="J342" s="4">
        <f>VLOOKUP(B342,[1]TEmplate!$AC$38:$AE$57,3,0)</f>
        <v>46204</v>
      </c>
    </row>
    <row r="343" spans="1:10" x14ac:dyDescent="0.3">
      <c r="A343" s="5" t="s">
        <v>14</v>
      </c>
      <c r="B343">
        <v>11</v>
      </c>
      <c r="C343">
        <v>4</v>
      </c>
      <c r="D343">
        <v>2</v>
      </c>
      <c r="E343" t="str">
        <f>VLOOKUP(D343,[1]TEmplate!$A$54:$C$64,2,0)</f>
        <v>Brunswick Hockey Club</v>
      </c>
      <c r="F343" t="s">
        <v>5</v>
      </c>
      <c r="G343">
        <v>10</v>
      </c>
      <c r="H343" t="str">
        <f>VLOOKUP(G343,[1]TEmplate!$A$54:$C$64,2,0)</f>
        <v>KBH Stallions</v>
      </c>
      <c r="I343" t="str">
        <f>VLOOKUP(D343,[1]TEmplate!$A$54:$C$64,3,0)</f>
        <v>BRU</v>
      </c>
      <c r="J343" s="4">
        <f>VLOOKUP(B343,[1]TEmplate!$AC$38:$AE$57,3,0)</f>
        <v>46204</v>
      </c>
    </row>
    <row r="344" spans="1:10" x14ac:dyDescent="0.3">
      <c r="A344" s="5" t="s">
        <v>14</v>
      </c>
      <c r="B344">
        <v>11</v>
      </c>
      <c r="C344">
        <v>5</v>
      </c>
      <c r="D344">
        <v>3</v>
      </c>
      <c r="E344" t="str">
        <f>VLOOKUP(D344,[1]TEmplate!$A$54:$C$64,2,0)</f>
        <v>Brunswick Hockey Club 2</v>
      </c>
      <c r="F344" t="s">
        <v>5</v>
      </c>
      <c r="G344">
        <v>1</v>
      </c>
      <c r="H344" t="str">
        <f>VLOOKUP(G344,[1]TEmplate!$A$54:$C$64,2,0)</f>
        <v>Hockey Geelong</v>
      </c>
      <c r="I344" t="str">
        <f>VLOOKUP(D344,[1]TEmplate!$A$54:$C$64,3,0)</f>
        <v>BRU</v>
      </c>
      <c r="J344" s="4">
        <f>VLOOKUP(B344,[1]TEmplate!$AC$38:$AE$57,3,0)</f>
        <v>46204</v>
      </c>
    </row>
    <row r="345" spans="1:10" x14ac:dyDescent="0.3">
      <c r="A345" s="5" t="s">
        <v>14</v>
      </c>
      <c r="B345">
        <v>12</v>
      </c>
      <c r="C345">
        <v>1</v>
      </c>
      <c r="D345">
        <v>2</v>
      </c>
      <c r="E345" t="str">
        <f>VLOOKUP(D345,[1]TEmplate!$A$54:$C$64,2,0)</f>
        <v>Brunswick Hockey Club</v>
      </c>
      <c r="F345" t="s">
        <v>5</v>
      </c>
      <c r="G345">
        <v>3</v>
      </c>
      <c r="H345" t="str">
        <f>VLOOKUP(G345,[1]TEmplate!$A$54:$C$64,2,0)</f>
        <v>Brunswick Hockey Club 2</v>
      </c>
      <c r="I345" t="str">
        <f>VLOOKUP(D345,[1]TEmplate!$A$54:$C$64,3,0)</f>
        <v>BRU</v>
      </c>
      <c r="J345" s="4">
        <f>VLOOKUP(B345,[1]TEmplate!$AC$38:$AE$57,3,0)</f>
        <v>46218</v>
      </c>
    </row>
    <row r="346" spans="1:10" x14ac:dyDescent="0.3">
      <c r="A346" s="5" t="s">
        <v>14</v>
      </c>
      <c r="B346">
        <v>12</v>
      </c>
      <c r="C346">
        <v>2</v>
      </c>
      <c r="D346">
        <v>1</v>
      </c>
      <c r="E346" t="str">
        <f>VLOOKUP(D346,[1]TEmplate!$A$54:$C$64,2,0)</f>
        <v>Hockey Geelong</v>
      </c>
      <c r="F346" t="s">
        <v>5</v>
      </c>
      <c r="G346">
        <v>4</v>
      </c>
      <c r="H346" t="str">
        <f>VLOOKUP(G346,[1]TEmplate!$A$54:$C$64,2,0)</f>
        <v>Yarra Hockey Club</v>
      </c>
      <c r="I346" t="str">
        <f>VLOOKUP(D346,[1]TEmplate!$A$54:$C$64,3,0)</f>
        <v>GEL</v>
      </c>
      <c r="J346" s="4">
        <f>VLOOKUP(B346,[1]TEmplate!$AC$38:$AE$57,3,0)</f>
        <v>46218</v>
      </c>
    </row>
    <row r="347" spans="1:10" x14ac:dyDescent="0.3">
      <c r="A347" s="5" t="s">
        <v>14</v>
      </c>
      <c r="B347">
        <v>12</v>
      </c>
      <c r="C347">
        <v>3</v>
      </c>
      <c r="D347">
        <v>9</v>
      </c>
      <c r="E347" t="str">
        <f>VLOOKUP(D347,[1]TEmplate!$A$54:$C$64,2,0)</f>
        <v>Footscray Hockey Club</v>
      </c>
      <c r="F347" t="s">
        <v>5</v>
      </c>
      <c r="G347">
        <v>5</v>
      </c>
      <c r="H347" t="str">
        <f>VLOOKUP(G347,[1]TEmplate!$A$54:$C$64,2,0)</f>
        <v>La Trobe University Hockey Club</v>
      </c>
      <c r="I347" t="str">
        <f>VLOOKUP(D347,[1]TEmplate!$A$54:$C$64,3,0)</f>
        <v>FHC</v>
      </c>
      <c r="J347" s="4">
        <f>VLOOKUP(B347,[1]TEmplate!$AC$38:$AE$57,3,0)</f>
        <v>46218</v>
      </c>
    </row>
    <row r="348" spans="1:10" x14ac:dyDescent="0.3">
      <c r="A348" s="5" t="s">
        <v>14</v>
      </c>
      <c r="B348">
        <v>12</v>
      </c>
      <c r="C348">
        <v>4</v>
      </c>
      <c r="D348">
        <v>8</v>
      </c>
      <c r="E348" t="str">
        <f>VLOOKUP(D348,[1]TEmplate!$A$54:$C$64,2,0)</f>
        <v>Essendon Hockey</v>
      </c>
      <c r="F348" t="s">
        <v>5</v>
      </c>
      <c r="G348">
        <v>6</v>
      </c>
      <c r="H348" t="str">
        <f>VLOOKUP(G348,[1]TEmplate!$A$54:$C$64,2,0)</f>
        <v> PEGS Hockey Club</v>
      </c>
      <c r="I348" t="str">
        <f>VLOOKUP(D348,[1]TEmplate!$A$54:$C$64,3,0)</f>
        <v>ESS</v>
      </c>
      <c r="J348" s="4">
        <f>VLOOKUP(B348,[1]TEmplate!$AC$38:$AE$57,3,0)</f>
        <v>46218</v>
      </c>
    </row>
    <row r="349" spans="1:10" x14ac:dyDescent="0.3">
      <c r="A349" s="5" t="s">
        <v>14</v>
      </c>
      <c r="B349">
        <v>12</v>
      </c>
      <c r="C349">
        <v>5</v>
      </c>
      <c r="D349">
        <v>10</v>
      </c>
      <c r="E349" t="str">
        <f>VLOOKUP(D349,[1]TEmplate!$A$54:$C$64,2,0)</f>
        <v>KBH Stallions</v>
      </c>
      <c r="F349" t="s">
        <v>5</v>
      </c>
      <c r="G349">
        <v>7</v>
      </c>
      <c r="H349" t="str">
        <f>VLOOKUP(G349,[1]TEmplate!$A$54:$C$64,2,0)</f>
        <v>Bye</v>
      </c>
      <c r="I349" t="str">
        <f>VLOOKUP(D349,[1]TEmplate!$A$54:$C$64,3,0)</f>
        <v>ELG</v>
      </c>
      <c r="J349" s="4">
        <f>VLOOKUP(B349,[1]TEmplate!$AC$38:$AE$57,3,0)</f>
        <v>46218</v>
      </c>
    </row>
    <row r="350" spans="1:10" x14ac:dyDescent="0.3">
      <c r="A350" s="5" t="s">
        <v>14</v>
      </c>
      <c r="B350">
        <v>13</v>
      </c>
      <c r="C350">
        <v>1</v>
      </c>
      <c r="D350">
        <v>7</v>
      </c>
      <c r="E350" t="str">
        <f>VLOOKUP(D350,[1]TEmplate!$A$54:$C$64,2,0)</f>
        <v>Bye</v>
      </c>
      <c r="F350" t="s">
        <v>5</v>
      </c>
      <c r="G350">
        <v>8</v>
      </c>
      <c r="H350" t="str">
        <f>VLOOKUP(G350,[1]TEmplate!$A$54:$C$64,2,0)</f>
        <v>Essendon Hockey</v>
      </c>
      <c r="I350">
        <f>VLOOKUP(D350,[1]TEmplate!$A$54:$C$64,3,0)</f>
        <v>0</v>
      </c>
      <c r="J350" s="4">
        <f>VLOOKUP(B350,[1]TEmplate!$AC$38:$AE$57,3,0)</f>
        <v>46225</v>
      </c>
    </row>
    <row r="351" spans="1:10" x14ac:dyDescent="0.3">
      <c r="A351" s="5" t="s">
        <v>14</v>
      </c>
      <c r="B351">
        <v>13</v>
      </c>
      <c r="C351">
        <v>2</v>
      </c>
      <c r="D351">
        <v>6</v>
      </c>
      <c r="E351" t="str">
        <f>VLOOKUP(D351,[1]TEmplate!$A$54:$C$64,2,0)</f>
        <v> PEGS Hockey Club</v>
      </c>
      <c r="F351" t="s">
        <v>5</v>
      </c>
      <c r="G351">
        <v>9</v>
      </c>
      <c r="H351" t="str">
        <f>VLOOKUP(G351,[1]TEmplate!$A$54:$C$64,2,0)</f>
        <v>Footscray Hockey Club</v>
      </c>
      <c r="I351" t="str">
        <f>VLOOKUP(D351,[1]TEmplate!$A$54:$C$64,3,0)</f>
        <v>PEGS</v>
      </c>
      <c r="J351" s="4">
        <f>VLOOKUP(B351,[1]TEmplate!$AC$38:$AE$57,3,0)</f>
        <v>46225</v>
      </c>
    </row>
    <row r="352" spans="1:10" x14ac:dyDescent="0.3">
      <c r="A352" s="5" t="s">
        <v>14</v>
      </c>
      <c r="B352">
        <v>13</v>
      </c>
      <c r="C352">
        <v>3</v>
      </c>
      <c r="D352">
        <v>3</v>
      </c>
      <c r="E352" t="str">
        <f>VLOOKUP(D352,[1]TEmplate!$A$54:$C$64,2,0)</f>
        <v>Brunswick Hockey Club 2</v>
      </c>
      <c r="F352" t="s">
        <v>5</v>
      </c>
      <c r="G352">
        <v>10</v>
      </c>
      <c r="H352" t="str">
        <f>VLOOKUP(G352,[1]TEmplate!$A$54:$C$64,2,0)</f>
        <v>KBH Stallions</v>
      </c>
      <c r="I352" t="str">
        <f>VLOOKUP(D352,[1]TEmplate!$A$54:$C$64,3,0)</f>
        <v>BRU</v>
      </c>
      <c r="J352" s="4">
        <f>VLOOKUP(B352,[1]TEmplate!$AC$38:$AE$57,3,0)</f>
        <v>46225</v>
      </c>
    </row>
    <row r="353" spans="1:10" x14ac:dyDescent="0.3">
      <c r="A353" s="5" t="s">
        <v>14</v>
      </c>
      <c r="B353">
        <v>13</v>
      </c>
      <c r="C353">
        <v>4</v>
      </c>
      <c r="D353">
        <v>5</v>
      </c>
      <c r="E353" t="str">
        <f>VLOOKUP(D353,[1]TEmplate!$A$54:$C$64,2,0)</f>
        <v>La Trobe University Hockey Club</v>
      </c>
      <c r="F353" t="s">
        <v>5</v>
      </c>
      <c r="G353">
        <v>1</v>
      </c>
      <c r="H353" t="str">
        <f>VLOOKUP(G353,[1]TEmplate!$A$54:$C$64,2,0)</f>
        <v>Hockey Geelong</v>
      </c>
      <c r="I353" t="str">
        <f>VLOOKUP(D353,[1]TEmplate!$A$54:$C$64,3,0)</f>
        <v>LAT</v>
      </c>
      <c r="J353" s="4">
        <f>VLOOKUP(B353,[1]TEmplate!$AC$38:$AE$57,3,0)</f>
        <v>46225</v>
      </c>
    </row>
    <row r="354" spans="1:10" x14ac:dyDescent="0.3">
      <c r="A354" s="5" t="s">
        <v>14</v>
      </c>
      <c r="B354">
        <v>13</v>
      </c>
      <c r="C354">
        <v>5</v>
      </c>
      <c r="D354">
        <v>4</v>
      </c>
      <c r="E354" t="str">
        <f>VLOOKUP(D354,[1]TEmplate!$A$54:$C$64,2,0)</f>
        <v>Yarra Hockey Club</v>
      </c>
      <c r="F354" t="s">
        <v>5</v>
      </c>
      <c r="G354">
        <v>2</v>
      </c>
      <c r="H354" t="str">
        <f>VLOOKUP(G354,[1]TEmplate!$A$54:$C$64,2,0)</f>
        <v>Brunswick Hockey Club</v>
      </c>
      <c r="I354" t="str">
        <f>VLOOKUP(D354,[1]TEmplate!$A$54:$C$64,3,0)</f>
        <v>YAR</v>
      </c>
      <c r="J354" s="4">
        <f>VLOOKUP(B354,[1]TEmplate!$AC$38:$AE$57,3,0)</f>
        <v>46225</v>
      </c>
    </row>
    <row r="355" spans="1:10" x14ac:dyDescent="0.3">
      <c r="A355" s="5" t="s">
        <v>14</v>
      </c>
      <c r="B355">
        <v>14</v>
      </c>
      <c r="C355">
        <v>1</v>
      </c>
      <c r="D355">
        <v>3</v>
      </c>
      <c r="E355" t="str">
        <f>VLOOKUP(D355,[1]TEmplate!$A$54:$C$64,2,0)</f>
        <v>Brunswick Hockey Club 2</v>
      </c>
      <c r="F355" t="s">
        <v>5</v>
      </c>
      <c r="G355">
        <v>4</v>
      </c>
      <c r="H355" t="str">
        <f>VLOOKUP(G355,[1]TEmplate!$A$54:$C$64,2,0)</f>
        <v>Yarra Hockey Club</v>
      </c>
      <c r="I355" t="str">
        <f>VLOOKUP(D355,[1]TEmplate!$A$54:$C$64,3,0)</f>
        <v>BRU</v>
      </c>
      <c r="J355" s="4">
        <f>VLOOKUP(B355,[1]TEmplate!$AC$38:$AE$57,3,0)</f>
        <v>46232</v>
      </c>
    </row>
    <row r="356" spans="1:10" x14ac:dyDescent="0.3">
      <c r="A356" s="5" t="s">
        <v>14</v>
      </c>
      <c r="B356">
        <v>14</v>
      </c>
      <c r="C356">
        <v>2</v>
      </c>
      <c r="D356">
        <v>2</v>
      </c>
      <c r="E356" t="str">
        <f>VLOOKUP(D356,[1]TEmplate!$A$54:$C$64,2,0)</f>
        <v>Brunswick Hockey Club</v>
      </c>
      <c r="F356" t="s">
        <v>5</v>
      </c>
      <c r="G356">
        <v>5</v>
      </c>
      <c r="H356" t="str">
        <f>VLOOKUP(G356,[1]TEmplate!$A$54:$C$64,2,0)</f>
        <v>La Trobe University Hockey Club</v>
      </c>
      <c r="I356" t="str">
        <f>VLOOKUP(D356,[1]TEmplate!$A$54:$C$64,3,0)</f>
        <v>BRU</v>
      </c>
      <c r="J356" s="4">
        <f>VLOOKUP(B356,[1]TEmplate!$AC$38:$AE$57,3,0)</f>
        <v>46232</v>
      </c>
    </row>
    <row r="357" spans="1:10" x14ac:dyDescent="0.3">
      <c r="A357" s="5" t="s">
        <v>14</v>
      </c>
      <c r="B357">
        <v>14</v>
      </c>
      <c r="C357">
        <v>3</v>
      </c>
      <c r="D357">
        <v>1</v>
      </c>
      <c r="E357" t="str">
        <f>VLOOKUP(D357,[1]TEmplate!$A$54:$C$64,2,0)</f>
        <v>Hockey Geelong</v>
      </c>
      <c r="F357" t="s">
        <v>5</v>
      </c>
      <c r="G357">
        <v>6</v>
      </c>
      <c r="H357" t="str">
        <f>VLOOKUP(G357,[1]TEmplate!$A$54:$C$64,2,0)</f>
        <v> PEGS Hockey Club</v>
      </c>
      <c r="I357" t="str">
        <f>VLOOKUP(D357,[1]TEmplate!$A$54:$C$64,3,0)</f>
        <v>GEL</v>
      </c>
      <c r="J357" s="4">
        <f>VLOOKUP(B357,[1]TEmplate!$AC$38:$AE$57,3,0)</f>
        <v>46232</v>
      </c>
    </row>
    <row r="358" spans="1:10" x14ac:dyDescent="0.3">
      <c r="A358" s="5" t="s">
        <v>14</v>
      </c>
      <c r="B358">
        <v>14</v>
      </c>
      <c r="C358">
        <v>4</v>
      </c>
      <c r="D358">
        <v>9</v>
      </c>
      <c r="E358" t="str">
        <f>VLOOKUP(D358,[1]TEmplate!$A$54:$C$64,2,0)</f>
        <v>Footscray Hockey Club</v>
      </c>
      <c r="F358" t="s">
        <v>5</v>
      </c>
      <c r="G358">
        <v>7</v>
      </c>
      <c r="H358" t="str">
        <f>VLOOKUP(G358,[1]TEmplate!$A$54:$C$64,2,0)</f>
        <v>Bye</v>
      </c>
      <c r="I358" t="str">
        <f>VLOOKUP(D358,[1]TEmplate!$A$54:$C$64,3,0)</f>
        <v>FHC</v>
      </c>
      <c r="J358" s="4">
        <f>VLOOKUP(B358,[1]TEmplate!$AC$38:$AE$57,3,0)</f>
        <v>46232</v>
      </c>
    </row>
    <row r="359" spans="1:10" x14ac:dyDescent="0.3">
      <c r="A359" s="5" t="s">
        <v>14</v>
      </c>
      <c r="B359">
        <v>14</v>
      </c>
      <c r="C359">
        <v>5</v>
      </c>
      <c r="D359">
        <v>10</v>
      </c>
      <c r="E359" t="str">
        <f>VLOOKUP(D359,[1]TEmplate!$A$54:$C$64,2,0)</f>
        <v>KBH Stallions</v>
      </c>
      <c r="F359" t="s">
        <v>5</v>
      </c>
      <c r="G359">
        <v>8</v>
      </c>
      <c r="H359" t="str">
        <f>VLOOKUP(G359,[1]TEmplate!$A$54:$C$64,2,0)</f>
        <v>Essendon Hockey</v>
      </c>
      <c r="I359" t="str">
        <f>VLOOKUP(D359,[1]TEmplate!$A$54:$C$64,3,0)</f>
        <v>ELG</v>
      </c>
      <c r="J359" s="4">
        <f>VLOOKUP(B359,[1]TEmplate!$AC$38:$AE$57,3,0)</f>
        <v>46232</v>
      </c>
    </row>
    <row r="360" spans="1:10" x14ac:dyDescent="0.3">
      <c r="A360" s="5" t="s">
        <v>14</v>
      </c>
      <c r="B360">
        <v>15</v>
      </c>
      <c r="C360">
        <v>1</v>
      </c>
      <c r="D360">
        <v>8</v>
      </c>
      <c r="E360" t="str">
        <f>VLOOKUP(D360,[1]TEmplate!$A$54:$C$64,2,0)</f>
        <v>Essendon Hockey</v>
      </c>
      <c r="F360" t="s">
        <v>5</v>
      </c>
      <c r="G360">
        <v>9</v>
      </c>
      <c r="H360" t="str">
        <f>VLOOKUP(G360,[1]TEmplate!$A$54:$C$64,2,0)</f>
        <v>Footscray Hockey Club</v>
      </c>
      <c r="I360" t="str">
        <f>VLOOKUP(D360,[1]TEmplate!$A$54:$C$64,3,0)</f>
        <v>ESS</v>
      </c>
      <c r="J360" s="4">
        <f>VLOOKUP(B360,[1]TEmplate!$AC$38:$AE$57,3,0)</f>
        <v>46239</v>
      </c>
    </row>
    <row r="361" spans="1:10" x14ac:dyDescent="0.3">
      <c r="A361" s="5" t="s">
        <v>14</v>
      </c>
      <c r="B361">
        <v>15</v>
      </c>
      <c r="C361">
        <v>2</v>
      </c>
      <c r="D361">
        <v>4</v>
      </c>
      <c r="E361" t="str">
        <f>VLOOKUP(D361,[1]TEmplate!$A$54:$C$64,2,0)</f>
        <v>Yarra Hockey Club</v>
      </c>
      <c r="F361" t="s">
        <v>5</v>
      </c>
      <c r="G361">
        <v>10</v>
      </c>
      <c r="H361" t="str">
        <f>VLOOKUP(G361,[1]TEmplate!$A$54:$C$64,2,0)</f>
        <v>KBH Stallions</v>
      </c>
      <c r="I361" t="str">
        <f>VLOOKUP(D361,[1]TEmplate!$A$54:$C$64,3,0)</f>
        <v>YAR</v>
      </c>
      <c r="J361" s="4">
        <f>VLOOKUP(B361,[1]TEmplate!$AC$38:$AE$57,3,0)</f>
        <v>46239</v>
      </c>
    </row>
    <row r="362" spans="1:10" x14ac:dyDescent="0.3">
      <c r="A362" s="5" t="s">
        <v>14</v>
      </c>
      <c r="B362">
        <v>15</v>
      </c>
      <c r="C362">
        <v>3</v>
      </c>
      <c r="D362">
        <v>7</v>
      </c>
      <c r="E362" t="str">
        <f>VLOOKUP(D362,[1]TEmplate!$A$54:$C$64,2,0)</f>
        <v>Bye</v>
      </c>
      <c r="F362" t="s">
        <v>5</v>
      </c>
      <c r="G362">
        <v>1</v>
      </c>
      <c r="H362" t="str">
        <f>VLOOKUP(G362,[1]TEmplate!$A$54:$C$64,2,0)</f>
        <v>Hockey Geelong</v>
      </c>
      <c r="I362">
        <f>VLOOKUP(D362,[1]TEmplate!$A$54:$C$64,3,0)</f>
        <v>0</v>
      </c>
      <c r="J362" s="4">
        <f>VLOOKUP(B362,[1]TEmplate!$AC$38:$AE$57,3,0)</f>
        <v>46239</v>
      </c>
    </row>
    <row r="363" spans="1:10" x14ac:dyDescent="0.3">
      <c r="A363" s="5" t="s">
        <v>14</v>
      </c>
      <c r="B363">
        <v>15</v>
      </c>
      <c r="C363">
        <v>4</v>
      </c>
      <c r="D363">
        <v>6</v>
      </c>
      <c r="E363" t="str">
        <f>VLOOKUP(D363,[1]TEmplate!$A$54:$C$64,2,0)</f>
        <v> PEGS Hockey Club</v>
      </c>
      <c r="F363" t="s">
        <v>5</v>
      </c>
      <c r="G363">
        <v>2</v>
      </c>
      <c r="H363" t="str">
        <f>VLOOKUP(G363,[1]TEmplate!$A$54:$C$64,2,0)</f>
        <v>Brunswick Hockey Club</v>
      </c>
      <c r="I363" t="str">
        <f>VLOOKUP(D363,[1]TEmplate!$A$54:$C$64,3,0)</f>
        <v>PEGS</v>
      </c>
      <c r="J363" s="4">
        <f>VLOOKUP(B363,[1]TEmplate!$AC$38:$AE$57,3,0)</f>
        <v>46239</v>
      </c>
    </row>
    <row r="364" spans="1:10" x14ac:dyDescent="0.3">
      <c r="A364" s="5" t="s">
        <v>14</v>
      </c>
      <c r="B364">
        <v>15</v>
      </c>
      <c r="C364">
        <v>5</v>
      </c>
      <c r="D364">
        <v>5</v>
      </c>
      <c r="E364" t="str">
        <f>VLOOKUP(D364,[1]TEmplate!$A$54:$C$64,2,0)</f>
        <v>La Trobe University Hockey Club</v>
      </c>
      <c r="F364" t="s">
        <v>5</v>
      </c>
      <c r="G364">
        <v>3</v>
      </c>
      <c r="H364" t="str">
        <f>VLOOKUP(G364,[1]TEmplate!$A$54:$C$64,2,0)</f>
        <v>Brunswick Hockey Club 2</v>
      </c>
      <c r="I364" t="str">
        <f>VLOOKUP(D364,[1]TEmplate!$A$54:$C$64,3,0)</f>
        <v>LAT</v>
      </c>
      <c r="J364" s="4">
        <f>VLOOKUP(B364,[1]TEmplate!$AC$38:$AE$57,3,0)</f>
        <v>46239</v>
      </c>
    </row>
    <row r="365" spans="1:10" x14ac:dyDescent="0.3">
      <c r="A365" s="5" t="s">
        <v>14</v>
      </c>
      <c r="B365">
        <v>16</v>
      </c>
      <c r="C365">
        <v>1</v>
      </c>
      <c r="D365">
        <v>4</v>
      </c>
      <c r="E365" t="str">
        <f>VLOOKUP(D365,[1]TEmplate!$A$54:$C$64,2,0)</f>
        <v>Yarra Hockey Club</v>
      </c>
      <c r="F365" t="s">
        <v>5</v>
      </c>
      <c r="G365">
        <v>5</v>
      </c>
      <c r="H365" t="str">
        <f>VLOOKUP(G365,[1]TEmplate!$A$54:$C$64,2,0)</f>
        <v>La Trobe University Hockey Club</v>
      </c>
      <c r="I365" t="str">
        <f>VLOOKUP(D365,[1]TEmplate!$A$54:$C$64,3,0)</f>
        <v>YAR</v>
      </c>
      <c r="J365" s="4">
        <f>VLOOKUP(B365,[1]TEmplate!$AC$38:$AE$57,3,0)</f>
        <v>46246</v>
      </c>
    </row>
    <row r="366" spans="1:10" x14ac:dyDescent="0.3">
      <c r="A366" s="5" t="s">
        <v>14</v>
      </c>
      <c r="B366">
        <v>16</v>
      </c>
      <c r="C366">
        <v>2</v>
      </c>
      <c r="D366">
        <v>3</v>
      </c>
      <c r="E366" t="str">
        <f>VLOOKUP(D366,[1]TEmplate!$A$54:$C$64,2,0)</f>
        <v>Brunswick Hockey Club 2</v>
      </c>
      <c r="F366" t="s">
        <v>5</v>
      </c>
      <c r="G366">
        <v>6</v>
      </c>
      <c r="H366" t="str">
        <f>VLOOKUP(G366,[1]TEmplate!$A$54:$C$64,2,0)</f>
        <v> PEGS Hockey Club</v>
      </c>
      <c r="I366" t="str">
        <f>VLOOKUP(D366,[1]TEmplate!$A$54:$C$64,3,0)</f>
        <v>BRU</v>
      </c>
      <c r="J366" s="4">
        <f>VLOOKUP(B366,[1]TEmplate!$AC$38:$AE$57,3,0)</f>
        <v>46246</v>
      </c>
    </row>
    <row r="367" spans="1:10" x14ac:dyDescent="0.3">
      <c r="A367" s="5" t="s">
        <v>14</v>
      </c>
      <c r="B367">
        <v>16</v>
      </c>
      <c r="C367">
        <v>3</v>
      </c>
      <c r="D367">
        <v>2</v>
      </c>
      <c r="E367" t="str">
        <f>VLOOKUP(D367,[1]TEmplate!$A$54:$C$64,2,0)</f>
        <v>Brunswick Hockey Club</v>
      </c>
      <c r="F367" t="s">
        <v>5</v>
      </c>
      <c r="G367">
        <v>7</v>
      </c>
      <c r="H367" t="str">
        <f>VLOOKUP(G367,[1]TEmplate!$A$54:$C$64,2,0)</f>
        <v>Bye</v>
      </c>
      <c r="I367" t="str">
        <f>VLOOKUP(D367,[1]TEmplate!$A$54:$C$64,3,0)</f>
        <v>BRU</v>
      </c>
      <c r="J367" s="4">
        <f>VLOOKUP(B367,[1]TEmplate!$AC$38:$AE$57,3,0)</f>
        <v>46246</v>
      </c>
    </row>
    <row r="368" spans="1:10" x14ac:dyDescent="0.3">
      <c r="A368" s="5" t="s">
        <v>14</v>
      </c>
      <c r="B368">
        <v>16</v>
      </c>
      <c r="C368">
        <v>4</v>
      </c>
      <c r="D368">
        <v>1</v>
      </c>
      <c r="E368" t="str">
        <f>VLOOKUP(D368,[1]TEmplate!$A$54:$C$64,2,0)</f>
        <v>Hockey Geelong</v>
      </c>
      <c r="F368" t="s">
        <v>5</v>
      </c>
      <c r="G368">
        <v>8</v>
      </c>
      <c r="H368" t="str">
        <f>VLOOKUP(G368,[1]TEmplate!$A$54:$C$64,2,0)</f>
        <v>Essendon Hockey</v>
      </c>
      <c r="I368" t="str">
        <f>VLOOKUP(D368,[1]TEmplate!$A$54:$C$64,3,0)</f>
        <v>GEL</v>
      </c>
      <c r="J368" s="4">
        <f>VLOOKUP(B368,[1]TEmplate!$AC$38:$AE$57,3,0)</f>
        <v>46246</v>
      </c>
    </row>
    <row r="369" spans="1:10" x14ac:dyDescent="0.3">
      <c r="A369" s="5" t="s">
        <v>14</v>
      </c>
      <c r="B369">
        <v>16</v>
      </c>
      <c r="C369">
        <v>5</v>
      </c>
      <c r="D369">
        <v>10</v>
      </c>
      <c r="E369" t="str">
        <f>VLOOKUP(D369,[1]TEmplate!$A$54:$C$64,2,0)</f>
        <v>KBH Stallions</v>
      </c>
      <c r="F369" t="s">
        <v>5</v>
      </c>
      <c r="G369">
        <v>9</v>
      </c>
      <c r="H369" t="str">
        <f>VLOOKUP(G369,[1]TEmplate!$A$54:$C$64,2,0)</f>
        <v>Footscray Hockey Club</v>
      </c>
      <c r="I369" t="str">
        <f>VLOOKUP(D369,[1]TEmplate!$A$54:$C$64,3,0)</f>
        <v>ELG</v>
      </c>
      <c r="J369" s="4">
        <f>VLOOKUP(B369,[1]TEmplate!$AC$38:$AE$57,3,0)</f>
        <v>46246</v>
      </c>
    </row>
    <row r="370" spans="1:10" x14ac:dyDescent="0.3">
      <c r="A370" s="5" t="s">
        <v>14</v>
      </c>
      <c r="B370">
        <v>17</v>
      </c>
      <c r="C370">
        <v>1</v>
      </c>
      <c r="D370">
        <v>10</v>
      </c>
      <c r="E370" t="str">
        <f>VLOOKUP(D370,[1]TEmplate!$A$54:$C$64,2,0)</f>
        <v>KBH Stallions</v>
      </c>
      <c r="F370" t="s">
        <v>5</v>
      </c>
      <c r="G370">
        <v>5</v>
      </c>
      <c r="H370" t="str">
        <f>VLOOKUP(G370,[1]TEmplate!$A$54:$C$64,2,0)</f>
        <v>La Trobe University Hockey Club</v>
      </c>
      <c r="I370" t="str">
        <f>VLOOKUP(D370,[1]TEmplate!$A$54:$C$64,3,0)</f>
        <v>ELG</v>
      </c>
      <c r="J370" s="4">
        <f>VLOOKUP(B370,[1]TEmplate!$AC$38:$AE$57,3,0)</f>
        <v>46253</v>
      </c>
    </row>
    <row r="371" spans="1:10" x14ac:dyDescent="0.3">
      <c r="A371" s="5" t="s">
        <v>14</v>
      </c>
      <c r="B371">
        <v>17</v>
      </c>
      <c r="C371">
        <v>2</v>
      </c>
      <c r="D371">
        <v>9</v>
      </c>
      <c r="E371" t="str">
        <f>VLOOKUP(D371,[1]TEmplate!$A$54:$C$64,2,0)</f>
        <v>Footscray Hockey Club</v>
      </c>
      <c r="F371" t="s">
        <v>5</v>
      </c>
      <c r="G371">
        <v>1</v>
      </c>
      <c r="H371" t="str">
        <f>VLOOKUP(G371,[1]TEmplate!$A$54:$C$64,2,0)</f>
        <v>Hockey Geelong</v>
      </c>
      <c r="I371" t="str">
        <f>VLOOKUP(D371,[1]TEmplate!$A$54:$C$64,3,0)</f>
        <v>FHC</v>
      </c>
      <c r="J371" s="4">
        <f>VLOOKUP(B371,[1]TEmplate!$AC$38:$AE$57,3,0)</f>
        <v>46253</v>
      </c>
    </row>
    <row r="372" spans="1:10" x14ac:dyDescent="0.3">
      <c r="A372" s="5" t="s">
        <v>14</v>
      </c>
      <c r="B372">
        <v>17</v>
      </c>
      <c r="C372">
        <v>3</v>
      </c>
      <c r="D372">
        <v>8</v>
      </c>
      <c r="E372" t="str">
        <f>VLOOKUP(D372,[1]TEmplate!$A$54:$C$64,2,0)</f>
        <v>Essendon Hockey</v>
      </c>
      <c r="F372" t="s">
        <v>5</v>
      </c>
      <c r="G372">
        <v>2</v>
      </c>
      <c r="H372" t="str">
        <f>VLOOKUP(G372,[1]TEmplate!$A$54:$C$64,2,0)</f>
        <v>Brunswick Hockey Club</v>
      </c>
      <c r="I372" t="str">
        <f>VLOOKUP(D372,[1]TEmplate!$A$54:$C$64,3,0)</f>
        <v>ESS</v>
      </c>
      <c r="J372" s="4">
        <f>VLOOKUP(B372,[1]TEmplate!$AC$38:$AE$57,3,0)</f>
        <v>46253</v>
      </c>
    </row>
    <row r="373" spans="1:10" x14ac:dyDescent="0.3">
      <c r="A373" s="5" t="s">
        <v>14</v>
      </c>
      <c r="B373">
        <v>17</v>
      </c>
      <c r="C373">
        <v>4</v>
      </c>
      <c r="D373">
        <v>7</v>
      </c>
      <c r="E373" t="str">
        <f>VLOOKUP(D373,[1]TEmplate!$A$54:$C$64,2,0)</f>
        <v>Bye</v>
      </c>
      <c r="F373" t="s">
        <v>5</v>
      </c>
      <c r="G373">
        <v>3</v>
      </c>
      <c r="H373" t="str">
        <f>VLOOKUP(G373,[1]TEmplate!$A$54:$C$64,2,0)</f>
        <v>Brunswick Hockey Club 2</v>
      </c>
      <c r="I373">
        <f>VLOOKUP(D373,[1]TEmplate!$A$54:$C$64,3,0)</f>
        <v>0</v>
      </c>
      <c r="J373" s="4">
        <f>VLOOKUP(B373,[1]TEmplate!$AC$38:$AE$57,3,0)</f>
        <v>46253</v>
      </c>
    </row>
    <row r="374" spans="1:10" x14ac:dyDescent="0.3">
      <c r="A374" s="5" t="s">
        <v>14</v>
      </c>
      <c r="B374">
        <v>17</v>
      </c>
      <c r="C374">
        <v>5</v>
      </c>
      <c r="D374">
        <v>6</v>
      </c>
      <c r="E374" t="str">
        <f>VLOOKUP(D374,[1]TEmplate!$A$54:$C$64,2,0)</f>
        <v> PEGS Hockey Club</v>
      </c>
      <c r="F374" t="s">
        <v>5</v>
      </c>
      <c r="G374">
        <v>4</v>
      </c>
      <c r="H374" t="str">
        <f>VLOOKUP(G374,[1]TEmplate!$A$54:$C$64,2,0)</f>
        <v>Yarra Hockey Club</v>
      </c>
      <c r="I374" t="str">
        <f>VLOOKUP(D374,[1]TEmplate!$A$54:$C$64,3,0)</f>
        <v>PEGS</v>
      </c>
      <c r="J374" s="4">
        <f>VLOOKUP(B374,[1]TEmplate!$AC$38:$AE$57,3,0)</f>
        <v>46253</v>
      </c>
    </row>
    <row r="375" spans="1:10" x14ac:dyDescent="0.3">
      <c r="A375" s="5" t="s">
        <v>14</v>
      </c>
      <c r="B375">
        <v>18</v>
      </c>
      <c r="C375">
        <v>1</v>
      </c>
      <c r="D375">
        <v>5</v>
      </c>
      <c r="E375" t="str">
        <f>VLOOKUP(D375,[1]TEmplate!$A$54:$C$64,2,0)</f>
        <v>La Trobe University Hockey Club</v>
      </c>
      <c r="F375" t="s">
        <v>5</v>
      </c>
      <c r="G375">
        <v>6</v>
      </c>
      <c r="H375" t="str">
        <f>VLOOKUP(G375,[1]TEmplate!$A$54:$C$64,2,0)</f>
        <v> PEGS Hockey Club</v>
      </c>
      <c r="I375" t="str">
        <f>VLOOKUP(D375,[1]TEmplate!$A$54:$C$64,3,0)</f>
        <v>LAT</v>
      </c>
      <c r="J375" s="4">
        <f>VLOOKUP(B375,[1]TEmplate!$AC$38:$AE$57,3,0)</f>
        <v>46260</v>
      </c>
    </row>
    <row r="376" spans="1:10" x14ac:dyDescent="0.3">
      <c r="A376" s="5" t="s">
        <v>14</v>
      </c>
      <c r="B376">
        <v>18</v>
      </c>
      <c r="C376">
        <v>2</v>
      </c>
      <c r="D376">
        <v>4</v>
      </c>
      <c r="E376" t="str">
        <f>VLOOKUP(D376,[1]TEmplate!$A$54:$C$64,2,0)</f>
        <v>Yarra Hockey Club</v>
      </c>
      <c r="F376" t="s">
        <v>5</v>
      </c>
      <c r="G376">
        <v>7</v>
      </c>
      <c r="H376" t="str">
        <f>VLOOKUP(G376,[1]TEmplate!$A$54:$C$64,2,0)</f>
        <v>Bye</v>
      </c>
      <c r="I376" t="str">
        <f>VLOOKUP(D376,[1]TEmplate!$A$54:$C$64,3,0)</f>
        <v>YAR</v>
      </c>
      <c r="J376" s="4">
        <f>VLOOKUP(B376,[1]TEmplate!$AC$38:$AE$57,3,0)</f>
        <v>46260</v>
      </c>
    </row>
    <row r="377" spans="1:10" x14ac:dyDescent="0.3">
      <c r="A377" s="5" t="s">
        <v>14</v>
      </c>
      <c r="B377">
        <v>18</v>
      </c>
      <c r="C377">
        <v>3</v>
      </c>
      <c r="D377">
        <v>3</v>
      </c>
      <c r="E377" t="str">
        <f>VLOOKUP(D377,[1]TEmplate!$A$54:$C$64,2,0)</f>
        <v>Brunswick Hockey Club 2</v>
      </c>
      <c r="F377" t="s">
        <v>5</v>
      </c>
      <c r="G377">
        <v>8</v>
      </c>
      <c r="H377" t="str">
        <f>VLOOKUP(G377,[1]TEmplate!$A$54:$C$64,2,0)</f>
        <v>Essendon Hockey</v>
      </c>
      <c r="I377" t="str">
        <f>VLOOKUP(D377,[1]TEmplate!$A$54:$C$64,3,0)</f>
        <v>BRU</v>
      </c>
      <c r="J377" s="4">
        <f>VLOOKUP(B377,[1]TEmplate!$AC$38:$AE$57,3,0)</f>
        <v>46260</v>
      </c>
    </row>
    <row r="378" spans="1:10" x14ac:dyDescent="0.3">
      <c r="A378" s="5" t="s">
        <v>14</v>
      </c>
      <c r="B378">
        <v>18</v>
      </c>
      <c r="C378">
        <v>4</v>
      </c>
      <c r="D378">
        <v>2</v>
      </c>
      <c r="E378" t="str">
        <f>VLOOKUP(D378,[1]TEmplate!$A$54:$C$64,2,0)</f>
        <v>Brunswick Hockey Club</v>
      </c>
      <c r="F378" t="s">
        <v>5</v>
      </c>
      <c r="G378">
        <v>9</v>
      </c>
      <c r="H378" t="str">
        <f>VLOOKUP(G378,[1]TEmplate!$A$54:$C$64,2,0)</f>
        <v>Footscray Hockey Club</v>
      </c>
      <c r="I378" t="str">
        <f>VLOOKUP(D378,[1]TEmplate!$A$54:$C$64,3,0)</f>
        <v>BRU</v>
      </c>
      <c r="J378" s="4">
        <f>VLOOKUP(B378,[1]TEmplate!$AC$38:$AE$57,3,0)</f>
        <v>46260</v>
      </c>
    </row>
    <row r="379" spans="1:10" ht="15" thickBot="1" x14ac:dyDescent="0.35">
      <c r="A379" s="5" t="s">
        <v>14</v>
      </c>
      <c r="B379">
        <v>18</v>
      </c>
      <c r="C379">
        <v>5</v>
      </c>
      <c r="D379">
        <v>1</v>
      </c>
      <c r="E379" t="str">
        <f>VLOOKUP(D379,[1]TEmplate!$A$54:$C$64,2,0)</f>
        <v>Hockey Geelong</v>
      </c>
      <c r="F379" t="s">
        <v>5</v>
      </c>
      <c r="G379">
        <v>10</v>
      </c>
      <c r="H379" t="str">
        <f>VLOOKUP(G379,[1]TEmplate!$A$54:$C$64,2,0)</f>
        <v>KBH Stallions</v>
      </c>
      <c r="I379" t="str">
        <f>VLOOKUP(D379,[1]TEmplate!$A$54:$C$64,3,0)</f>
        <v>GEL</v>
      </c>
      <c r="J379" s="4">
        <f>VLOOKUP(B379,[1]TEmplate!$AC$38:$AE$57,3,0)</f>
        <v>46260</v>
      </c>
    </row>
    <row r="380" spans="1:10" ht="15" thickBot="1" x14ac:dyDescent="0.35">
      <c r="A380" s="6" t="s">
        <v>15</v>
      </c>
      <c r="B380">
        <v>1</v>
      </c>
      <c r="C380">
        <v>1</v>
      </c>
      <c r="D380">
        <v>2</v>
      </c>
      <c r="E380" t="str">
        <f>VLOOKUP(D380,[1]TEmplate!$E$54:$G$61,2,0)</f>
        <v>Southern United Hockey Club 1</v>
      </c>
      <c r="F380" t="s">
        <v>5</v>
      </c>
      <c r="G380">
        <v>5</v>
      </c>
      <c r="H380" t="str">
        <f>VLOOKUP(G380,[1]TEmplate!$E$54:$G$61,2,0)</f>
        <v>KBH Mustangs</v>
      </c>
      <c r="I380" t="str">
        <f>VLOOKUP(D380,[1]TEmplate!$E$54:$G$61,3,0)</f>
        <v>MBN</v>
      </c>
      <c r="J380" s="4">
        <f>VLOOKUP(B380,[1]TEmplate!$AC$38:$AE$57,3,0)</f>
        <v>46127</v>
      </c>
    </row>
    <row r="381" spans="1:10" ht="15" thickBot="1" x14ac:dyDescent="0.35">
      <c r="A381" s="6" t="s">
        <v>15</v>
      </c>
      <c r="B381">
        <v>1</v>
      </c>
      <c r="C381">
        <v>2</v>
      </c>
      <c r="D381">
        <v>1</v>
      </c>
      <c r="E381" t="str">
        <f>VLOOKUP(D381,[1]TEmplate!$E$54:$G$61,2,0)</f>
        <v>Southern United Hockey Club 2</v>
      </c>
      <c r="F381" t="s">
        <v>5</v>
      </c>
      <c r="G381">
        <v>6</v>
      </c>
      <c r="H381" t="str">
        <f>VLOOKUP(G381,[1]TEmplate!$E$54:$G$61,2,0)</f>
        <v>Camberwell Hockey Club</v>
      </c>
      <c r="I381" t="str">
        <f>VLOOKUP(D381,[1]TEmplate!$E$54:$G$61,3,0)</f>
        <v>MBN</v>
      </c>
      <c r="J381" s="4">
        <f>VLOOKUP(B381,[1]TEmplate!$AC$38:$AE$57,3,0)</f>
        <v>46127</v>
      </c>
    </row>
    <row r="382" spans="1:10" ht="15" thickBot="1" x14ac:dyDescent="0.35">
      <c r="A382" s="6" t="s">
        <v>15</v>
      </c>
      <c r="B382">
        <v>1</v>
      </c>
      <c r="C382">
        <v>3</v>
      </c>
      <c r="D382">
        <v>3</v>
      </c>
      <c r="E382" t="str">
        <f>VLOOKUP(D382,[1]TEmplate!$E$54:$G$61,2,0)</f>
        <v>Doncaster Hockey Club</v>
      </c>
      <c r="F382" t="s">
        <v>5</v>
      </c>
      <c r="G382">
        <v>4</v>
      </c>
      <c r="H382" t="str">
        <f>VLOOKUP(G382,[1]TEmplate!$E$54:$G$61,2,0)</f>
        <v>Bye</v>
      </c>
      <c r="I382" t="str">
        <f>VLOOKUP(D382,[1]TEmplate!$E$54:$G$61,3,0)</f>
        <v>DON</v>
      </c>
      <c r="J382" s="4">
        <f>VLOOKUP(B382,[1]TEmplate!$AC$38:$AE$57,3,0)</f>
        <v>46127</v>
      </c>
    </row>
    <row r="383" spans="1:10" ht="15" thickBot="1" x14ac:dyDescent="0.35">
      <c r="A383" s="6" t="s">
        <v>15</v>
      </c>
      <c r="B383">
        <v>2</v>
      </c>
      <c r="C383">
        <v>1</v>
      </c>
      <c r="D383">
        <v>6</v>
      </c>
      <c r="E383" t="str">
        <f>VLOOKUP(D383,[1]TEmplate!$E$54:$G$61,2,0)</f>
        <v>Camberwell Hockey Club</v>
      </c>
      <c r="F383" t="s">
        <v>5</v>
      </c>
      <c r="G383">
        <v>3</v>
      </c>
      <c r="H383" t="str">
        <f>VLOOKUP(G383,[1]TEmplate!$E$54:$G$61,2,0)</f>
        <v>Doncaster Hockey Club</v>
      </c>
      <c r="I383" t="str">
        <f>VLOOKUP(D383,[1]TEmplate!$E$54:$G$61,3,0)</f>
        <v>CAM</v>
      </c>
      <c r="J383" s="4">
        <f>VLOOKUP(B383,[1]TEmplate!$AC$38:$AE$57,3,0)</f>
        <v>46134</v>
      </c>
    </row>
    <row r="384" spans="1:10" ht="15" thickBot="1" x14ac:dyDescent="0.35">
      <c r="A384" s="6" t="s">
        <v>15</v>
      </c>
      <c r="B384">
        <v>2</v>
      </c>
      <c r="C384">
        <v>2</v>
      </c>
      <c r="D384">
        <v>4</v>
      </c>
      <c r="E384" t="str">
        <f>VLOOKUP(D384,[1]TEmplate!$E$54:$G$61,2,0)</f>
        <v>Bye</v>
      </c>
      <c r="F384" t="s">
        <v>5</v>
      </c>
      <c r="G384">
        <v>2</v>
      </c>
      <c r="H384" t="str">
        <f>VLOOKUP(G384,[1]TEmplate!$E$54:$G$61,2,0)</f>
        <v>Southern United Hockey Club 1</v>
      </c>
      <c r="I384">
        <f>VLOOKUP(D384,[1]TEmplate!$E$54:$G$61,3,0)</f>
        <v>0</v>
      </c>
      <c r="J384" s="4">
        <f>VLOOKUP(B384,[1]TEmplate!$AC$38:$AE$57,3,0)</f>
        <v>46134</v>
      </c>
    </row>
    <row r="385" spans="1:10" ht="15" thickBot="1" x14ac:dyDescent="0.35">
      <c r="A385" s="6" t="s">
        <v>15</v>
      </c>
      <c r="B385">
        <v>2</v>
      </c>
      <c r="C385">
        <v>3</v>
      </c>
      <c r="D385">
        <v>5</v>
      </c>
      <c r="E385" t="str">
        <f>VLOOKUP(D385,[1]TEmplate!$E$54:$G$61,2,0)</f>
        <v>KBH Mustangs</v>
      </c>
      <c r="F385" t="s">
        <v>5</v>
      </c>
      <c r="G385">
        <v>1</v>
      </c>
      <c r="H385" t="str">
        <f>VLOOKUP(G385,[1]TEmplate!$E$54:$G$61,2,0)</f>
        <v>Southern United Hockey Club 2</v>
      </c>
      <c r="I385" t="str">
        <f>VLOOKUP(D385,[1]TEmplate!$E$54:$G$61,3,0)</f>
        <v>ELG</v>
      </c>
      <c r="J385" s="4">
        <f>VLOOKUP(B385,[1]TEmplate!$AC$38:$AE$57,3,0)</f>
        <v>46134</v>
      </c>
    </row>
    <row r="386" spans="1:10" ht="15" thickBot="1" x14ac:dyDescent="0.35">
      <c r="A386" s="6" t="s">
        <v>15</v>
      </c>
      <c r="B386">
        <v>3</v>
      </c>
      <c r="C386">
        <v>1</v>
      </c>
      <c r="D386">
        <v>2</v>
      </c>
      <c r="E386" t="str">
        <f>VLOOKUP(D386,[1]TEmplate!$E$54:$G$61,2,0)</f>
        <v>Southern United Hockey Club 1</v>
      </c>
      <c r="F386" t="s">
        <v>5</v>
      </c>
      <c r="G386">
        <v>3</v>
      </c>
      <c r="H386" t="str">
        <f>VLOOKUP(G386,[1]TEmplate!$E$54:$G$61,2,0)</f>
        <v>Doncaster Hockey Club</v>
      </c>
      <c r="I386" t="str">
        <f>VLOOKUP(D386,[1]TEmplate!$E$54:$G$61,3,0)</f>
        <v>MBN</v>
      </c>
      <c r="J386" s="4">
        <f>VLOOKUP(B386,[1]TEmplate!$AC$38:$AE$57,3,0)</f>
        <v>46141</v>
      </c>
    </row>
    <row r="387" spans="1:10" ht="15" thickBot="1" x14ac:dyDescent="0.35">
      <c r="A387" s="6" t="s">
        <v>15</v>
      </c>
      <c r="B387">
        <v>3</v>
      </c>
      <c r="C387">
        <v>2</v>
      </c>
      <c r="D387">
        <v>5</v>
      </c>
      <c r="E387" t="str">
        <f>VLOOKUP(D387,[1]TEmplate!$E$54:$G$61,2,0)</f>
        <v>KBH Mustangs</v>
      </c>
      <c r="F387" t="s">
        <v>5</v>
      </c>
      <c r="G387">
        <v>6</v>
      </c>
      <c r="H387" t="str">
        <f>VLOOKUP(G387,[1]TEmplate!$E$54:$G$61,2,0)</f>
        <v>Camberwell Hockey Club</v>
      </c>
      <c r="I387" t="str">
        <f>VLOOKUP(D387,[1]TEmplate!$E$54:$G$61,3,0)</f>
        <v>ELG</v>
      </c>
      <c r="J387" s="4">
        <f>VLOOKUP(B387,[1]TEmplate!$AC$38:$AE$57,3,0)</f>
        <v>46141</v>
      </c>
    </row>
    <row r="388" spans="1:10" ht="15" thickBot="1" x14ac:dyDescent="0.35">
      <c r="A388" s="6" t="s">
        <v>15</v>
      </c>
      <c r="B388">
        <v>3</v>
      </c>
      <c r="C388">
        <v>3</v>
      </c>
      <c r="D388">
        <v>1</v>
      </c>
      <c r="E388" t="str">
        <f>VLOOKUP(D388,[1]TEmplate!$E$54:$G$61,2,0)</f>
        <v>Southern United Hockey Club 2</v>
      </c>
      <c r="F388" t="s">
        <v>5</v>
      </c>
      <c r="G388">
        <v>4</v>
      </c>
      <c r="H388" t="str">
        <f>VLOOKUP(G388,[1]TEmplate!$E$54:$G$61,2,0)</f>
        <v>Bye</v>
      </c>
      <c r="I388" t="str">
        <f>VLOOKUP(D388,[1]TEmplate!$E$54:$G$61,3,0)</f>
        <v>MBN</v>
      </c>
      <c r="J388" s="4">
        <f>VLOOKUP(B388,[1]TEmplate!$AC$38:$AE$57,3,0)</f>
        <v>46141</v>
      </c>
    </row>
    <row r="389" spans="1:10" ht="15" thickBot="1" x14ac:dyDescent="0.35">
      <c r="A389" s="6" t="s">
        <v>15</v>
      </c>
      <c r="B389">
        <v>4</v>
      </c>
      <c r="C389">
        <v>1</v>
      </c>
      <c r="D389">
        <v>6</v>
      </c>
      <c r="E389" t="str">
        <f>VLOOKUP(D389,[1]TEmplate!$E$54:$G$61,2,0)</f>
        <v>Camberwell Hockey Club</v>
      </c>
      <c r="F389" t="s">
        <v>5</v>
      </c>
      <c r="G389">
        <v>2</v>
      </c>
      <c r="H389" t="str">
        <f>VLOOKUP(G389,[1]TEmplate!$E$54:$G$61,2,0)</f>
        <v>Southern United Hockey Club 1</v>
      </c>
      <c r="I389" t="str">
        <f>VLOOKUP(D389,[1]TEmplate!$E$54:$G$61,3,0)</f>
        <v>CAM</v>
      </c>
      <c r="J389" s="4">
        <f>VLOOKUP(B389,[1]TEmplate!$AC$38:$AE$57,3,0)</f>
        <v>46148</v>
      </c>
    </row>
    <row r="390" spans="1:10" ht="15" thickBot="1" x14ac:dyDescent="0.35">
      <c r="A390" s="6" t="s">
        <v>15</v>
      </c>
      <c r="B390">
        <v>4</v>
      </c>
      <c r="C390">
        <v>2</v>
      </c>
      <c r="D390">
        <v>5</v>
      </c>
      <c r="E390" t="str">
        <f>VLOOKUP(D390,[1]TEmplate!$E$54:$G$61,2,0)</f>
        <v>KBH Mustangs</v>
      </c>
      <c r="F390" t="s">
        <v>5</v>
      </c>
      <c r="G390">
        <v>4</v>
      </c>
      <c r="H390" t="str">
        <f>VLOOKUP(G390,[1]TEmplate!$E$54:$G$61,2,0)</f>
        <v>Bye</v>
      </c>
      <c r="I390" t="str">
        <f>VLOOKUP(D390,[1]TEmplate!$E$54:$G$61,3,0)</f>
        <v>ELG</v>
      </c>
      <c r="J390" s="4">
        <f>VLOOKUP(B390,[1]TEmplate!$AC$38:$AE$57,3,0)</f>
        <v>46148</v>
      </c>
    </row>
    <row r="391" spans="1:10" ht="15" thickBot="1" x14ac:dyDescent="0.35">
      <c r="A391" s="6" t="s">
        <v>15</v>
      </c>
      <c r="B391">
        <v>4</v>
      </c>
      <c r="C391">
        <v>3</v>
      </c>
      <c r="D391">
        <v>3</v>
      </c>
      <c r="E391" t="str">
        <f>VLOOKUP(D391,[1]TEmplate!$E$54:$G$61,2,0)</f>
        <v>Doncaster Hockey Club</v>
      </c>
      <c r="F391" t="s">
        <v>5</v>
      </c>
      <c r="G391">
        <v>1</v>
      </c>
      <c r="H391" t="str">
        <f>VLOOKUP(G391,[1]TEmplate!$E$54:$G$61,2,0)</f>
        <v>Southern United Hockey Club 2</v>
      </c>
      <c r="I391" t="str">
        <f>VLOOKUP(D391,[1]TEmplate!$E$54:$G$61,3,0)</f>
        <v>DON</v>
      </c>
      <c r="J391" s="4">
        <f>VLOOKUP(B391,[1]TEmplate!$AC$38:$AE$57,3,0)</f>
        <v>46148</v>
      </c>
    </row>
    <row r="392" spans="1:10" ht="15" thickBot="1" x14ac:dyDescent="0.35">
      <c r="A392" s="6" t="s">
        <v>15</v>
      </c>
      <c r="B392">
        <v>5</v>
      </c>
      <c r="C392">
        <v>1</v>
      </c>
      <c r="D392">
        <v>4</v>
      </c>
      <c r="E392" t="str">
        <f>VLOOKUP(D392,[1]TEmplate!$E$54:$G$61,2,0)</f>
        <v>Bye</v>
      </c>
      <c r="F392" t="s">
        <v>5</v>
      </c>
      <c r="G392">
        <v>6</v>
      </c>
      <c r="H392" t="str">
        <f>VLOOKUP(G392,[1]TEmplate!$E$54:$G$61,2,0)</f>
        <v>Camberwell Hockey Club</v>
      </c>
      <c r="I392">
        <f>VLOOKUP(D392,[1]TEmplate!$E$54:$G$61,3,0)</f>
        <v>0</v>
      </c>
      <c r="J392" s="4">
        <f>VLOOKUP(B392,[1]TEmplate!$AC$38:$AE$57,3,0)</f>
        <v>46155</v>
      </c>
    </row>
    <row r="393" spans="1:10" ht="15" thickBot="1" x14ac:dyDescent="0.35">
      <c r="A393" s="6" t="s">
        <v>15</v>
      </c>
      <c r="B393">
        <v>5</v>
      </c>
      <c r="C393">
        <v>2</v>
      </c>
      <c r="D393">
        <v>1</v>
      </c>
      <c r="E393" t="str">
        <f>VLOOKUP(D393,[1]TEmplate!$E$54:$G$61,2,0)</f>
        <v>Southern United Hockey Club 2</v>
      </c>
      <c r="F393" t="s">
        <v>5</v>
      </c>
      <c r="G393">
        <v>2</v>
      </c>
      <c r="H393" t="str">
        <f>VLOOKUP(G393,[1]TEmplate!$E$54:$G$61,2,0)</f>
        <v>Southern United Hockey Club 1</v>
      </c>
      <c r="I393" t="str">
        <f>VLOOKUP(D393,[1]TEmplate!$E$54:$G$61,3,0)</f>
        <v>MBN</v>
      </c>
      <c r="J393" s="4">
        <f>VLOOKUP(B393,[1]TEmplate!$AC$38:$AE$57,3,0)</f>
        <v>46155</v>
      </c>
    </row>
    <row r="394" spans="1:10" ht="15" thickBot="1" x14ac:dyDescent="0.35">
      <c r="A394" s="6" t="s">
        <v>15</v>
      </c>
      <c r="B394">
        <v>5</v>
      </c>
      <c r="C394">
        <v>3</v>
      </c>
      <c r="D394">
        <v>3</v>
      </c>
      <c r="E394" t="str">
        <f>VLOOKUP(D394,[1]TEmplate!$E$54:$G$61,2,0)</f>
        <v>Doncaster Hockey Club</v>
      </c>
      <c r="F394" t="s">
        <v>5</v>
      </c>
      <c r="G394">
        <v>5</v>
      </c>
      <c r="H394" t="str">
        <f>VLOOKUP(G394,[1]TEmplate!$E$54:$G$61,2,0)</f>
        <v>KBH Mustangs</v>
      </c>
      <c r="I394" t="str">
        <f>VLOOKUP(D394,[1]TEmplate!$E$54:$G$61,3,0)</f>
        <v>DON</v>
      </c>
      <c r="J394" s="4">
        <f>VLOOKUP(B394,[1]TEmplate!$AC$38:$AE$57,3,0)</f>
        <v>46155</v>
      </c>
    </row>
    <row r="395" spans="1:10" ht="15" thickBot="1" x14ac:dyDescent="0.35">
      <c r="A395" s="6" t="s">
        <v>15</v>
      </c>
      <c r="B395">
        <v>6</v>
      </c>
      <c r="C395">
        <v>1</v>
      </c>
      <c r="D395">
        <v>5</v>
      </c>
      <c r="E395" t="str">
        <f>VLOOKUP(D395,[1]TEmplate!$E$54:$G$61,2,0)</f>
        <v>KBH Mustangs</v>
      </c>
      <c r="F395" t="s">
        <v>5</v>
      </c>
      <c r="G395">
        <v>2</v>
      </c>
      <c r="H395" t="str">
        <f>VLOOKUP(G395,[1]TEmplate!$E$54:$G$61,2,0)</f>
        <v>Southern United Hockey Club 1</v>
      </c>
      <c r="I395" t="str">
        <f>VLOOKUP(D395,[1]TEmplate!$E$54:$G$61,3,0)</f>
        <v>ELG</v>
      </c>
      <c r="J395" s="4">
        <f>VLOOKUP(B395,[1]TEmplate!$AC$38:$AE$57,3,0)</f>
        <v>46162</v>
      </c>
    </row>
    <row r="396" spans="1:10" ht="15" thickBot="1" x14ac:dyDescent="0.35">
      <c r="A396" s="6" t="s">
        <v>15</v>
      </c>
      <c r="B396">
        <v>6</v>
      </c>
      <c r="C396">
        <v>2</v>
      </c>
      <c r="D396">
        <v>6</v>
      </c>
      <c r="E396" t="str">
        <f>VLOOKUP(D396,[1]TEmplate!$E$54:$G$61,2,0)</f>
        <v>Camberwell Hockey Club</v>
      </c>
      <c r="F396" t="s">
        <v>5</v>
      </c>
      <c r="G396">
        <v>1</v>
      </c>
      <c r="H396" t="str">
        <f>VLOOKUP(G396,[1]TEmplate!$E$54:$G$61,2,0)</f>
        <v>Southern United Hockey Club 2</v>
      </c>
      <c r="I396" t="str">
        <f>VLOOKUP(D396,[1]TEmplate!$E$54:$G$61,3,0)</f>
        <v>CAM</v>
      </c>
      <c r="J396" s="4">
        <f>VLOOKUP(B396,[1]TEmplate!$AC$38:$AE$57,3,0)</f>
        <v>46162</v>
      </c>
    </row>
    <row r="397" spans="1:10" ht="15" thickBot="1" x14ac:dyDescent="0.35">
      <c r="A397" s="6" t="s">
        <v>15</v>
      </c>
      <c r="B397">
        <v>6</v>
      </c>
      <c r="C397">
        <v>3</v>
      </c>
      <c r="D397">
        <v>4</v>
      </c>
      <c r="E397" t="str">
        <f>VLOOKUP(D397,[1]TEmplate!$E$54:$G$61,2,0)</f>
        <v>Bye</v>
      </c>
      <c r="F397" t="s">
        <v>5</v>
      </c>
      <c r="G397">
        <v>3</v>
      </c>
      <c r="H397" t="str">
        <f>VLOOKUP(G397,[1]TEmplate!$E$54:$G$61,2,0)</f>
        <v>Doncaster Hockey Club</v>
      </c>
      <c r="I397">
        <f>VLOOKUP(D397,[1]TEmplate!$E$54:$G$61,3,0)</f>
        <v>0</v>
      </c>
      <c r="J397" s="4">
        <f>VLOOKUP(B397,[1]TEmplate!$AC$38:$AE$57,3,0)</f>
        <v>46162</v>
      </c>
    </row>
    <row r="398" spans="1:10" ht="15" thickBot="1" x14ac:dyDescent="0.35">
      <c r="A398" s="6" t="s">
        <v>15</v>
      </c>
      <c r="B398">
        <v>7</v>
      </c>
      <c r="C398">
        <v>1</v>
      </c>
      <c r="D398">
        <v>3</v>
      </c>
      <c r="E398" t="str">
        <f>VLOOKUP(D398,[1]TEmplate!$E$54:$G$61,2,0)</f>
        <v>Doncaster Hockey Club</v>
      </c>
      <c r="F398" t="s">
        <v>5</v>
      </c>
      <c r="G398">
        <v>6</v>
      </c>
      <c r="H398" t="str">
        <f>VLOOKUP(G398,[1]TEmplate!$E$54:$G$61,2,0)</f>
        <v>Camberwell Hockey Club</v>
      </c>
      <c r="I398" t="str">
        <f>VLOOKUP(D398,[1]TEmplate!$E$54:$G$61,3,0)</f>
        <v>DON</v>
      </c>
      <c r="J398" s="4">
        <f>VLOOKUP(B398,[1]TEmplate!$AC$38:$AE$57,3,0)</f>
        <v>46169</v>
      </c>
    </row>
    <row r="399" spans="1:10" ht="15" thickBot="1" x14ac:dyDescent="0.35">
      <c r="A399" s="6" t="s">
        <v>15</v>
      </c>
      <c r="B399">
        <v>7</v>
      </c>
      <c r="C399">
        <v>2</v>
      </c>
      <c r="D399">
        <v>2</v>
      </c>
      <c r="E399" t="str">
        <f>VLOOKUP(D399,[1]TEmplate!$E$54:$G$61,2,0)</f>
        <v>Southern United Hockey Club 1</v>
      </c>
      <c r="F399" t="s">
        <v>5</v>
      </c>
      <c r="G399">
        <v>4</v>
      </c>
      <c r="H399" t="str">
        <f>VLOOKUP(G399,[1]TEmplate!$E$54:$G$61,2,0)</f>
        <v>Bye</v>
      </c>
      <c r="I399" t="str">
        <f>VLOOKUP(D399,[1]TEmplate!$E$54:$G$61,3,0)</f>
        <v>MBN</v>
      </c>
      <c r="J399" s="4">
        <f>VLOOKUP(B399,[1]TEmplate!$AC$38:$AE$57,3,0)</f>
        <v>46169</v>
      </c>
    </row>
    <row r="400" spans="1:10" ht="15" thickBot="1" x14ac:dyDescent="0.35">
      <c r="A400" s="6" t="s">
        <v>15</v>
      </c>
      <c r="B400">
        <v>7</v>
      </c>
      <c r="C400">
        <v>3</v>
      </c>
      <c r="D400">
        <v>1</v>
      </c>
      <c r="E400" t="str">
        <f>VLOOKUP(D400,[1]TEmplate!$E$54:$G$61,2,0)</f>
        <v>Southern United Hockey Club 2</v>
      </c>
      <c r="F400" t="s">
        <v>5</v>
      </c>
      <c r="G400">
        <v>5</v>
      </c>
      <c r="H400" t="str">
        <f>VLOOKUP(G400,[1]TEmplate!$E$54:$G$61,2,0)</f>
        <v>KBH Mustangs</v>
      </c>
      <c r="I400" t="str">
        <f>VLOOKUP(D400,[1]TEmplate!$E$54:$G$61,3,0)</f>
        <v>MBN</v>
      </c>
      <c r="J400" s="4">
        <f>VLOOKUP(B400,[1]TEmplate!$AC$38:$AE$57,3,0)</f>
        <v>46169</v>
      </c>
    </row>
    <row r="401" spans="1:10" ht="15" thickBot="1" x14ac:dyDescent="0.35">
      <c r="A401" s="6" t="s">
        <v>15</v>
      </c>
      <c r="B401">
        <v>8</v>
      </c>
      <c r="C401">
        <v>1</v>
      </c>
      <c r="D401">
        <v>3</v>
      </c>
      <c r="E401" t="str">
        <f>VLOOKUP(D401,[1]TEmplate!$E$54:$G$61,2,0)</f>
        <v>Doncaster Hockey Club</v>
      </c>
      <c r="F401" t="s">
        <v>5</v>
      </c>
      <c r="G401">
        <v>2</v>
      </c>
      <c r="H401" t="str">
        <f>VLOOKUP(G401,[1]TEmplate!$E$54:$G$61,2,0)</f>
        <v>Southern United Hockey Club 1</v>
      </c>
      <c r="I401" t="str">
        <f>VLOOKUP(D401,[1]TEmplate!$E$54:$G$61,3,0)</f>
        <v>DON</v>
      </c>
      <c r="J401" s="4">
        <f>VLOOKUP(B401,[1]TEmplate!$AC$38:$AE$57,3,0)</f>
        <v>46176</v>
      </c>
    </row>
    <row r="402" spans="1:10" ht="15" thickBot="1" x14ac:dyDescent="0.35">
      <c r="A402" s="6" t="s">
        <v>15</v>
      </c>
      <c r="B402">
        <v>8</v>
      </c>
      <c r="C402">
        <v>2</v>
      </c>
      <c r="D402">
        <v>6</v>
      </c>
      <c r="E402" t="str">
        <f>VLOOKUP(D402,[1]TEmplate!$E$54:$G$61,2,0)</f>
        <v>Camberwell Hockey Club</v>
      </c>
      <c r="F402" t="s">
        <v>5</v>
      </c>
      <c r="G402">
        <v>5</v>
      </c>
      <c r="H402" t="str">
        <f>VLOOKUP(G402,[1]TEmplate!$E$54:$G$61,2,0)</f>
        <v>KBH Mustangs</v>
      </c>
      <c r="I402" t="str">
        <f>VLOOKUP(D402,[1]TEmplate!$E$54:$G$61,3,0)</f>
        <v>CAM</v>
      </c>
      <c r="J402" s="4">
        <f>VLOOKUP(B402,[1]TEmplate!$AC$38:$AE$57,3,0)</f>
        <v>46176</v>
      </c>
    </row>
    <row r="403" spans="1:10" ht="15" thickBot="1" x14ac:dyDescent="0.35">
      <c r="A403" s="6" t="s">
        <v>15</v>
      </c>
      <c r="B403">
        <v>8</v>
      </c>
      <c r="C403">
        <v>3</v>
      </c>
      <c r="D403">
        <v>4</v>
      </c>
      <c r="E403" t="str">
        <f>VLOOKUP(D403,[1]TEmplate!$E$54:$G$61,2,0)</f>
        <v>Bye</v>
      </c>
      <c r="F403" t="s">
        <v>5</v>
      </c>
      <c r="G403">
        <v>1</v>
      </c>
      <c r="H403" t="str">
        <f>VLOOKUP(G403,[1]TEmplate!$E$54:$G$61,2,0)</f>
        <v>Southern United Hockey Club 2</v>
      </c>
      <c r="I403">
        <f>VLOOKUP(D403,[1]TEmplate!$E$54:$G$61,3,0)</f>
        <v>0</v>
      </c>
      <c r="J403" s="4">
        <f>VLOOKUP(B403,[1]TEmplate!$AC$38:$AE$57,3,0)</f>
        <v>46176</v>
      </c>
    </row>
    <row r="404" spans="1:10" ht="15" thickBot="1" x14ac:dyDescent="0.35">
      <c r="A404" s="6" t="s">
        <v>15</v>
      </c>
      <c r="B404">
        <v>9</v>
      </c>
      <c r="C404">
        <v>1</v>
      </c>
      <c r="D404">
        <v>2</v>
      </c>
      <c r="E404" t="str">
        <f>VLOOKUP(D404,[1]TEmplate!$E$54:$G$61,2,0)</f>
        <v>Southern United Hockey Club 1</v>
      </c>
      <c r="F404" t="s">
        <v>5</v>
      </c>
      <c r="G404">
        <v>6</v>
      </c>
      <c r="H404" t="str">
        <f>VLOOKUP(G404,[1]TEmplate!$E$54:$G$61,2,0)</f>
        <v>Camberwell Hockey Club</v>
      </c>
      <c r="I404" t="str">
        <f>VLOOKUP(D404,[1]TEmplate!$E$54:$G$61,3,0)</f>
        <v>MBN</v>
      </c>
      <c r="J404" s="4">
        <f>VLOOKUP(B404,[1]TEmplate!$AC$38:$AE$57,3,0)</f>
        <v>46190</v>
      </c>
    </row>
    <row r="405" spans="1:10" ht="15" thickBot="1" x14ac:dyDescent="0.35">
      <c r="A405" s="6" t="s">
        <v>15</v>
      </c>
      <c r="B405">
        <v>9</v>
      </c>
      <c r="C405">
        <v>2</v>
      </c>
      <c r="D405">
        <v>4</v>
      </c>
      <c r="E405" t="str">
        <f>VLOOKUP(D405,[1]TEmplate!$E$54:$G$61,2,0)</f>
        <v>Bye</v>
      </c>
      <c r="F405" t="s">
        <v>5</v>
      </c>
      <c r="G405">
        <v>5</v>
      </c>
      <c r="H405" t="str">
        <f>VLOOKUP(G405,[1]TEmplate!$E$54:$G$61,2,0)</f>
        <v>KBH Mustangs</v>
      </c>
      <c r="I405">
        <f>VLOOKUP(D405,[1]TEmplate!$E$54:$G$61,3,0)</f>
        <v>0</v>
      </c>
      <c r="J405" s="4">
        <f>VLOOKUP(B405,[1]TEmplate!$AC$38:$AE$57,3,0)</f>
        <v>46190</v>
      </c>
    </row>
    <row r="406" spans="1:10" ht="15" thickBot="1" x14ac:dyDescent="0.35">
      <c r="A406" s="6" t="s">
        <v>15</v>
      </c>
      <c r="B406">
        <v>9</v>
      </c>
      <c r="C406">
        <v>3</v>
      </c>
      <c r="D406">
        <v>1</v>
      </c>
      <c r="E406" t="str">
        <f>VLOOKUP(D406,[1]TEmplate!$E$54:$G$61,2,0)</f>
        <v>Southern United Hockey Club 2</v>
      </c>
      <c r="F406" t="s">
        <v>5</v>
      </c>
      <c r="G406">
        <v>3</v>
      </c>
      <c r="H406" t="str">
        <f>VLOOKUP(G406,[1]TEmplate!$E$54:$G$61,2,0)</f>
        <v>Doncaster Hockey Club</v>
      </c>
      <c r="I406" t="str">
        <f>VLOOKUP(D406,[1]TEmplate!$E$54:$G$61,3,0)</f>
        <v>MBN</v>
      </c>
      <c r="J406" s="4">
        <f>VLOOKUP(B406,[1]TEmplate!$AC$38:$AE$57,3,0)</f>
        <v>46190</v>
      </c>
    </row>
    <row r="407" spans="1:10" ht="15" thickBot="1" x14ac:dyDescent="0.35">
      <c r="A407" s="6" t="s">
        <v>15</v>
      </c>
      <c r="B407">
        <v>10</v>
      </c>
      <c r="C407">
        <v>1</v>
      </c>
      <c r="D407">
        <v>6</v>
      </c>
      <c r="E407" t="str">
        <f>VLOOKUP(D407,[1]TEmplate!$E$54:$G$61,2,0)</f>
        <v>Camberwell Hockey Club</v>
      </c>
      <c r="F407" t="s">
        <v>5</v>
      </c>
      <c r="G407">
        <v>4</v>
      </c>
      <c r="H407" t="str">
        <f>VLOOKUP(G407,[1]TEmplate!$E$54:$G$61,2,0)</f>
        <v>Bye</v>
      </c>
      <c r="I407" t="str">
        <f>VLOOKUP(D407,[1]TEmplate!$E$54:$G$61,3,0)</f>
        <v>CAM</v>
      </c>
      <c r="J407" s="4">
        <f>VLOOKUP(B407,[1]TEmplate!$AC$38:$AE$57,3,0)</f>
        <v>46197</v>
      </c>
    </row>
    <row r="408" spans="1:10" ht="15" thickBot="1" x14ac:dyDescent="0.35">
      <c r="A408" s="6" t="s">
        <v>15</v>
      </c>
      <c r="B408">
        <v>10</v>
      </c>
      <c r="C408">
        <v>2</v>
      </c>
      <c r="D408">
        <v>2</v>
      </c>
      <c r="E408" t="str">
        <f>VLOOKUP(D408,[1]TEmplate!$E$54:$G$61,2,0)</f>
        <v>Southern United Hockey Club 1</v>
      </c>
      <c r="F408" t="s">
        <v>5</v>
      </c>
      <c r="G408">
        <v>1</v>
      </c>
      <c r="H408" t="str">
        <f>VLOOKUP(G408,[1]TEmplate!$E$54:$G$61,2,0)</f>
        <v>Southern United Hockey Club 2</v>
      </c>
      <c r="I408" t="str">
        <f>VLOOKUP(D408,[1]TEmplate!$E$54:$G$61,3,0)</f>
        <v>MBN</v>
      </c>
      <c r="J408" s="4">
        <f>VLOOKUP(B408,[1]TEmplate!$AC$38:$AE$57,3,0)</f>
        <v>46197</v>
      </c>
    </row>
    <row r="409" spans="1:10" ht="15" thickBot="1" x14ac:dyDescent="0.35">
      <c r="A409" s="6" t="s">
        <v>15</v>
      </c>
      <c r="B409">
        <v>10</v>
      </c>
      <c r="C409">
        <v>3</v>
      </c>
      <c r="D409">
        <v>5</v>
      </c>
      <c r="E409" t="str">
        <f>VLOOKUP(D409,[1]TEmplate!$E$54:$G$61,2,0)</f>
        <v>KBH Mustangs</v>
      </c>
      <c r="F409" t="s">
        <v>5</v>
      </c>
      <c r="G409">
        <v>3</v>
      </c>
      <c r="H409" t="str">
        <f>VLOOKUP(G409,[1]TEmplate!$E$54:$G$61,2,0)</f>
        <v>Doncaster Hockey Club</v>
      </c>
      <c r="I409" t="str">
        <f>VLOOKUP(D409,[1]TEmplate!$E$54:$G$61,3,0)</f>
        <v>ELG</v>
      </c>
      <c r="J409" s="4">
        <f>VLOOKUP(B409,[1]TEmplate!$AC$38:$AE$57,3,0)</f>
        <v>46197</v>
      </c>
    </row>
    <row r="410" spans="1:10" ht="15" thickBot="1" x14ac:dyDescent="0.35">
      <c r="A410" s="6" t="s">
        <v>15</v>
      </c>
      <c r="B410">
        <v>11</v>
      </c>
      <c r="C410">
        <v>1</v>
      </c>
      <c r="D410">
        <v>2</v>
      </c>
      <c r="E410" t="str">
        <f>VLOOKUP(D410,[1]TEmplate!$E$54:$G$61,2,0)</f>
        <v>Southern United Hockey Club 1</v>
      </c>
      <c r="F410" t="s">
        <v>5</v>
      </c>
      <c r="G410">
        <v>5</v>
      </c>
      <c r="H410" t="str">
        <f>VLOOKUP(G410,[1]TEmplate!$E$54:$G$61,2,0)</f>
        <v>KBH Mustangs</v>
      </c>
      <c r="I410" t="str">
        <f>VLOOKUP(D410,[1]TEmplate!$E$54:$G$61,3,0)</f>
        <v>MBN</v>
      </c>
      <c r="J410" s="4">
        <f>VLOOKUP(B410,[1]TEmplate!$AC$38:$AE$57,3,0)</f>
        <v>46204</v>
      </c>
    </row>
    <row r="411" spans="1:10" ht="15" thickBot="1" x14ac:dyDescent="0.35">
      <c r="A411" s="6" t="s">
        <v>15</v>
      </c>
      <c r="B411">
        <v>11</v>
      </c>
      <c r="C411">
        <v>2</v>
      </c>
      <c r="D411">
        <v>1</v>
      </c>
      <c r="E411" t="str">
        <f>VLOOKUP(D411,[1]TEmplate!$E$54:$G$61,2,0)</f>
        <v>Southern United Hockey Club 2</v>
      </c>
      <c r="F411" t="s">
        <v>5</v>
      </c>
      <c r="G411">
        <v>6</v>
      </c>
      <c r="H411" t="str">
        <f>VLOOKUP(G411,[1]TEmplate!$E$54:$G$61,2,0)</f>
        <v>Camberwell Hockey Club</v>
      </c>
      <c r="I411" t="str">
        <f>VLOOKUP(D411,[1]TEmplate!$E$54:$G$61,3,0)</f>
        <v>MBN</v>
      </c>
      <c r="J411" s="4">
        <f>VLOOKUP(B411,[1]TEmplate!$AC$38:$AE$57,3,0)</f>
        <v>46204</v>
      </c>
    </row>
    <row r="412" spans="1:10" ht="15" thickBot="1" x14ac:dyDescent="0.35">
      <c r="A412" s="6" t="s">
        <v>15</v>
      </c>
      <c r="B412">
        <v>11</v>
      </c>
      <c r="C412">
        <v>3</v>
      </c>
      <c r="D412">
        <v>3</v>
      </c>
      <c r="E412" t="str">
        <f>VLOOKUP(D412,[1]TEmplate!$E$54:$G$61,2,0)</f>
        <v>Doncaster Hockey Club</v>
      </c>
      <c r="F412" t="s">
        <v>5</v>
      </c>
      <c r="G412">
        <v>4</v>
      </c>
      <c r="H412" t="str">
        <f>VLOOKUP(G412,[1]TEmplate!$E$54:$G$61,2,0)</f>
        <v>Bye</v>
      </c>
      <c r="I412" t="str">
        <f>VLOOKUP(D412,[1]TEmplate!$E$54:$G$61,3,0)</f>
        <v>DON</v>
      </c>
      <c r="J412" s="4">
        <f>VLOOKUP(B412,[1]TEmplate!$AC$38:$AE$57,3,0)</f>
        <v>46204</v>
      </c>
    </row>
    <row r="413" spans="1:10" ht="15" thickBot="1" x14ac:dyDescent="0.35">
      <c r="A413" s="6" t="s">
        <v>15</v>
      </c>
      <c r="B413">
        <v>12</v>
      </c>
      <c r="C413">
        <v>1</v>
      </c>
      <c r="D413">
        <v>6</v>
      </c>
      <c r="E413" t="str">
        <f>VLOOKUP(D413,[1]TEmplate!$E$54:$G$61,2,0)</f>
        <v>Camberwell Hockey Club</v>
      </c>
      <c r="F413" t="s">
        <v>5</v>
      </c>
      <c r="G413">
        <v>3</v>
      </c>
      <c r="H413" t="str">
        <f>VLOOKUP(G413,[1]TEmplate!$E$54:$G$61,2,0)</f>
        <v>Doncaster Hockey Club</v>
      </c>
      <c r="I413" t="str">
        <f>VLOOKUP(D413,[1]TEmplate!$E$54:$G$61,3,0)</f>
        <v>CAM</v>
      </c>
      <c r="J413" s="4">
        <f>VLOOKUP(B413,[1]TEmplate!$AC$38:$AE$57,3,0)</f>
        <v>46218</v>
      </c>
    </row>
    <row r="414" spans="1:10" ht="15" thickBot="1" x14ac:dyDescent="0.35">
      <c r="A414" s="6" t="s">
        <v>15</v>
      </c>
      <c r="B414">
        <v>12</v>
      </c>
      <c r="C414">
        <v>2</v>
      </c>
      <c r="D414">
        <v>4</v>
      </c>
      <c r="E414" t="str">
        <f>VLOOKUP(D414,[1]TEmplate!$E$54:$G$61,2,0)</f>
        <v>Bye</v>
      </c>
      <c r="F414" t="s">
        <v>5</v>
      </c>
      <c r="G414">
        <v>2</v>
      </c>
      <c r="H414" t="str">
        <f>VLOOKUP(G414,[1]TEmplate!$E$54:$G$61,2,0)</f>
        <v>Southern United Hockey Club 1</v>
      </c>
      <c r="I414">
        <f>VLOOKUP(D414,[1]TEmplate!$E$54:$G$61,3,0)</f>
        <v>0</v>
      </c>
      <c r="J414" s="4">
        <f>VLOOKUP(B414,[1]TEmplate!$AC$38:$AE$57,3,0)</f>
        <v>46218</v>
      </c>
    </row>
    <row r="415" spans="1:10" ht="15" thickBot="1" x14ac:dyDescent="0.35">
      <c r="A415" s="6" t="s">
        <v>15</v>
      </c>
      <c r="B415">
        <v>12</v>
      </c>
      <c r="C415">
        <v>3</v>
      </c>
      <c r="D415">
        <v>5</v>
      </c>
      <c r="E415" t="str">
        <f>VLOOKUP(D415,[1]TEmplate!$E$54:$G$61,2,0)</f>
        <v>KBH Mustangs</v>
      </c>
      <c r="F415" t="s">
        <v>5</v>
      </c>
      <c r="G415">
        <v>1</v>
      </c>
      <c r="H415" t="str">
        <f>VLOOKUP(G415,[1]TEmplate!$E$54:$G$61,2,0)</f>
        <v>Southern United Hockey Club 2</v>
      </c>
      <c r="I415" t="str">
        <f>VLOOKUP(D415,[1]TEmplate!$E$54:$G$61,3,0)</f>
        <v>ELG</v>
      </c>
      <c r="J415" s="4">
        <f>VLOOKUP(B415,[1]TEmplate!$AC$38:$AE$57,3,0)</f>
        <v>46218</v>
      </c>
    </row>
    <row r="416" spans="1:10" ht="15" thickBot="1" x14ac:dyDescent="0.35">
      <c r="A416" s="6" t="s">
        <v>15</v>
      </c>
      <c r="B416">
        <v>13</v>
      </c>
      <c r="C416">
        <v>1</v>
      </c>
      <c r="D416">
        <v>2</v>
      </c>
      <c r="E416" t="str">
        <f>VLOOKUP(D416,[1]TEmplate!$E$54:$G$61,2,0)</f>
        <v>Southern United Hockey Club 1</v>
      </c>
      <c r="F416" t="s">
        <v>5</v>
      </c>
      <c r="G416">
        <v>3</v>
      </c>
      <c r="H416" t="str">
        <f>VLOOKUP(G416,[1]TEmplate!$E$54:$G$61,2,0)</f>
        <v>Doncaster Hockey Club</v>
      </c>
      <c r="I416" t="str">
        <f>VLOOKUP(D416,[1]TEmplate!$E$54:$G$61,3,0)</f>
        <v>MBN</v>
      </c>
      <c r="J416" s="4">
        <f>VLOOKUP(B416,[1]TEmplate!$AC$38:$AE$57,3,0)</f>
        <v>46225</v>
      </c>
    </row>
    <row r="417" spans="1:10" ht="15" thickBot="1" x14ac:dyDescent="0.35">
      <c r="A417" s="6" t="s">
        <v>15</v>
      </c>
      <c r="B417">
        <v>13</v>
      </c>
      <c r="C417">
        <v>2</v>
      </c>
      <c r="D417">
        <v>5</v>
      </c>
      <c r="E417" t="str">
        <f>VLOOKUP(D417,[1]TEmplate!$E$54:$G$61,2,0)</f>
        <v>KBH Mustangs</v>
      </c>
      <c r="F417" t="s">
        <v>5</v>
      </c>
      <c r="G417">
        <v>6</v>
      </c>
      <c r="H417" t="str">
        <f>VLOOKUP(G417,[1]TEmplate!$E$54:$G$61,2,0)</f>
        <v>Camberwell Hockey Club</v>
      </c>
      <c r="I417" t="str">
        <f>VLOOKUP(D417,[1]TEmplate!$E$54:$G$61,3,0)</f>
        <v>ELG</v>
      </c>
      <c r="J417" s="4">
        <f>VLOOKUP(B417,[1]TEmplate!$AC$38:$AE$57,3,0)</f>
        <v>46225</v>
      </c>
    </row>
    <row r="418" spans="1:10" ht="15" thickBot="1" x14ac:dyDescent="0.35">
      <c r="A418" s="6" t="s">
        <v>15</v>
      </c>
      <c r="B418">
        <v>13</v>
      </c>
      <c r="C418">
        <v>3</v>
      </c>
      <c r="D418">
        <v>1</v>
      </c>
      <c r="E418" t="str">
        <f>VLOOKUP(D418,[1]TEmplate!$E$54:$G$61,2,0)</f>
        <v>Southern United Hockey Club 2</v>
      </c>
      <c r="F418" t="s">
        <v>5</v>
      </c>
      <c r="G418">
        <v>4</v>
      </c>
      <c r="H418" t="str">
        <f>VLOOKUP(G418,[1]TEmplate!$E$54:$G$61,2,0)</f>
        <v>Bye</v>
      </c>
      <c r="I418" t="str">
        <f>VLOOKUP(D418,[1]TEmplate!$E$54:$G$61,3,0)</f>
        <v>MBN</v>
      </c>
      <c r="J418" s="4">
        <f>VLOOKUP(B418,[1]TEmplate!$AC$38:$AE$57,3,0)</f>
        <v>46225</v>
      </c>
    </row>
    <row r="419" spans="1:10" ht="15" thickBot="1" x14ac:dyDescent="0.35">
      <c r="A419" s="6" t="s">
        <v>15</v>
      </c>
      <c r="B419">
        <v>14</v>
      </c>
      <c r="C419">
        <v>1</v>
      </c>
      <c r="D419">
        <v>6</v>
      </c>
      <c r="E419" t="str">
        <f>VLOOKUP(D419,[1]TEmplate!$E$54:$G$61,2,0)</f>
        <v>Camberwell Hockey Club</v>
      </c>
      <c r="F419" t="s">
        <v>5</v>
      </c>
      <c r="G419">
        <v>2</v>
      </c>
      <c r="H419" t="str">
        <f>VLOOKUP(G419,[1]TEmplate!$E$54:$G$61,2,0)</f>
        <v>Southern United Hockey Club 1</v>
      </c>
      <c r="I419" t="str">
        <f>VLOOKUP(D419,[1]TEmplate!$E$54:$G$61,3,0)</f>
        <v>CAM</v>
      </c>
      <c r="J419" s="4">
        <f>VLOOKUP(B419,[1]TEmplate!$AC$38:$AE$57,3,0)</f>
        <v>46232</v>
      </c>
    </row>
    <row r="420" spans="1:10" ht="15" thickBot="1" x14ac:dyDescent="0.35">
      <c r="A420" s="6" t="s">
        <v>15</v>
      </c>
      <c r="B420">
        <v>14</v>
      </c>
      <c r="C420">
        <v>2</v>
      </c>
      <c r="D420">
        <v>5</v>
      </c>
      <c r="E420" t="str">
        <f>VLOOKUP(D420,[1]TEmplate!$E$54:$G$61,2,0)</f>
        <v>KBH Mustangs</v>
      </c>
      <c r="F420" t="s">
        <v>5</v>
      </c>
      <c r="G420">
        <v>4</v>
      </c>
      <c r="H420" t="str">
        <f>VLOOKUP(G420,[1]TEmplate!$E$54:$G$61,2,0)</f>
        <v>Bye</v>
      </c>
      <c r="I420" t="str">
        <f>VLOOKUP(D420,[1]TEmplate!$E$54:$G$61,3,0)</f>
        <v>ELG</v>
      </c>
      <c r="J420" s="4">
        <f>VLOOKUP(B420,[1]TEmplate!$AC$38:$AE$57,3,0)</f>
        <v>46232</v>
      </c>
    </row>
    <row r="421" spans="1:10" ht="15" thickBot="1" x14ac:dyDescent="0.35">
      <c r="A421" s="6" t="s">
        <v>15</v>
      </c>
      <c r="B421">
        <v>14</v>
      </c>
      <c r="C421">
        <v>3</v>
      </c>
      <c r="D421">
        <v>3</v>
      </c>
      <c r="E421" t="str">
        <f>VLOOKUP(D421,[1]TEmplate!$E$54:$G$61,2,0)</f>
        <v>Doncaster Hockey Club</v>
      </c>
      <c r="F421" t="s">
        <v>5</v>
      </c>
      <c r="G421">
        <v>1</v>
      </c>
      <c r="H421" t="str">
        <f>VLOOKUP(G421,[1]TEmplate!$E$54:$G$61,2,0)</f>
        <v>Southern United Hockey Club 2</v>
      </c>
      <c r="I421" t="str">
        <f>VLOOKUP(D421,[1]TEmplate!$E$54:$G$61,3,0)</f>
        <v>DON</v>
      </c>
      <c r="J421" s="4">
        <f>VLOOKUP(B421,[1]TEmplate!$AC$38:$AE$57,3,0)</f>
        <v>46232</v>
      </c>
    </row>
    <row r="422" spans="1:10" ht="15" thickBot="1" x14ac:dyDescent="0.35">
      <c r="A422" s="6" t="s">
        <v>15</v>
      </c>
      <c r="B422">
        <v>15</v>
      </c>
      <c r="C422">
        <v>1</v>
      </c>
      <c r="D422">
        <v>4</v>
      </c>
      <c r="E422" t="str">
        <f>VLOOKUP(D422,[1]TEmplate!$E$54:$G$61,2,0)</f>
        <v>Bye</v>
      </c>
      <c r="F422" t="s">
        <v>5</v>
      </c>
      <c r="G422">
        <v>6</v>
      </c>
      <c r="H422" t="str">
        <f>VLOOKUP(G422,[1]TEmplate!$E$54:$G$61,2,0)</f>
        <v>Camberwell Hockey Club</v>
      </c>
      <c r="I422">
        <f>VLOOKUP(D422,[1]TEmplate!$E$54:$G$61,3,0)</f>
        <v>0</v>
      </c>
      <c r="J422" s="4">
        <f>VLOOKUP(B422,[1]TEmplate!$AC$38:$AE$57,3,0)</f>
        <v>46239</v>
      </c>
    </row>
    <row r="423" spans="1:10" ht="15" thickBot="1" x14ac:dyDescent="0.35">
      <c r="A423" s="6" t="s">
        <v>15</v>
      </c>
      <c r="B423">
        <v>15</v>
      </c>
      <c r="C423">
        <v>2</v>
      </c>
      <c r="D423">
        <v>1</v>
      </c>
      <c r="E423" t="str">
        <f>VLOOKUP(D423,[1]TEmplate!$E$54:$G$61,2,0)</f>
        <v>Southern United Hockey Club 2</v>
      </c>
      <c r="F423" t="s">
        <v>5</v>
      </c>
      <c r="G423">
        <v>2</v>
      </c>
      <c r="H423" t="str">
        <f>VLOOKUP(G423,[1]TEmplate!$E$54:$G$61,2,0)</f>
        <v>Southern United Hockey Club 1</v>
      </c>
      <c r="I423" t="str">
        <f>VLOOKUP(D423,[1]TEmplate!$E$54:$G$61,3,0)</f>
        <v>MBN</v>
      </c>
      <c r="J423" s="4">
        <f>VLOOKUP(B423,[1]TEmplate!$AC$38:$AE$57,3,0)</f>
        <v>46239</v>
      </c>
    </row>
    <row r="424" spans="1:10" ht="15" thickBot="1" x14ac:dyDescent="0.35">
      <c r="A424" s="6" t="s">
        <v>15</v>
      </c>
      <c r="B424">
        <v>15</v>
      </c>
      <c r="C424">
        <v>3</v>
      </c>
      <c r="D424">
        <v>3</v>
      </c>
      <c r="E424" t="str">
        <f>VLOOKUP(D424,[1]TEmplate!$E$54:$G$61,2,0)</f>
        <v>Doncaster Hockey Club</v>
      </c>
      <c r="F424" t="s">
        <v>5</v>
      </c>
      <c r="G424">
        <v>5</v>
      </c>
      <c r="H424" t="str">
        <f>VLOOKUP(G424,[1]TEmplate!$E$54:$G$61,2,0)</f>
        <v>KBH Mustangs</v>
      </c>
      <c r="I424" t="str">
        <f>VLOOKUP(D424,[1]TEmplate!$E$54:$G$61,3,0)</f>
        <v>DON</v>
      </c>
      <c r="J424" s="4">
        <f>VLOOKUP(B424,[1]TEmplate!$AC$38:$AE$57,3,0)</f>
        <v>46239</v>
      </c>
    </row>
    <row r="425" spans="1:10" ht="15" thickBot="1" x14ac:dyDescent="0.35">
      <c r="A425" s="6" t="s">
        <v>15</v>
      </c>
      <c r="B425">
        <v>16</v>
      </c>
      <c r="C425">
        <v>1</v>
      </c>
      <c r="D425">
        <v>5</v>
      </c>
      <c r="E425" t="str">
        <f>VLOOKUP(D425,[1]TEmplate!$E$54:$G$61,2,0)</f>
        <v>KBH Mustangs</v>
      </c>
      <c r="F425" t="s">
        <v>5</v>
      </c>
      <c r="G425">
        <v>2</v>
      </c>
      <c r="H425" t="str">
        <f>VLOOKUP(G425,[1]TEmplate!$E$54:$G$61,2,0)</f>
        <v>Southern United Hockey Club 1</v>
      </c>
      <c r="I425" t="str">
        <f>VLOOKUP(D425,[1]TEmplate!$E$54:$G$61,3,0)</f>
        <v>ELG</v>
      </c>
      <c r="J425" s="4">
        <f>VLOOKUP(B425,[1]TEmplate!$AC$38:$AE$57,3,0)</f>
        <v>46246</v>
      </c>
    </row>
    <row r="426" spans="1:10" ht="15" thickBot="1" x14ac:dyDescent="0.35">
      <c r="A426" s="6" t="s">
        <v>15</v>
      </c>
      <c r="B426">
        <v>16</v>
      </c>
      <c r="C426">
        <v>2</v>
      </c>
      <c r="D426">
        <v>6</v>
      </c>
      <c r="E426" t="str">
        <f>VLOOKUP(D426,[1]TEmplate!$E$54:$G$61,2,0)</f>
        <v>Camberwell Hockey Club</v>
      </c>
      <c r="F426" t="s">
        <v>5</v>
      </c>
      <c r="G426">
        <v>1</v>
      </c>
      <c r="H426" t="str">
        <f>VLOOKUP(G426,[1]TEmplate!$E$54:$G$61,2,0)</f>
        <v>Southern United Hockey Club 2</v>
      </c>
      <c r="I426" t="str">
        <f>VLOOKUP(D426,[1]TEmplate!$E$54:$G$61,3,0)</f>
        <v>CAM</v>
      </c>
      <c r="J426" s="4">
        <f>VLOOKUP(B426,[1]TEmplate!$AC$38:$AE$57,3,0)</f>
        <v>46246</v>
      </c>
    </row>
    <row r="427" spans="1:10" ht="15" thickBot="1" x14ac:dyDescent="0.35">
      <c r="A427" s="6" t="s">
        <v>15</v>
      </c>
      <c r="B427">
        <v>16</v>
      </c>
      <c r="C427">
        <v>3</v>
      </c>
      <c r="D427">
        <v>4</v>
      </c>
      <c r="E427" t="str">
        <f>VLOOKUP(D427,[1]TEmplate!$E$54:$G$61,2,0)</f>
        <v>Bye</v>
      </c>
      <c r="F427" t="s">
        <v>5</v>
      </c>
      <c r="G427">
        <v>3</v>
      </c>
      <c r="H427" t="str">
        <f>VLOOKUP(G427,[1]TEmplate!$E$54:$G$61,2,0)</f>
        <v>Doncaster Hockey Club</v>
      </c>
      <c r="I427">
        <f>VLOOKUP(D427,[1]TEmplate!$E$54:$G$61,3,0)</f>
        <v>0</v>
      </c>
      <c r="J427" s="4">
        <f>VLOOKUP(B427,[1]TEmplate!$AC$38:$AE$57,3,0)</f>
        <v>46246</v>
      </c>
    </row>
    <row r="428" spans="1:10" ht="15" thickBot="1" x14ac:dyDescent="0.35">
      <c r="A428" s="6" t="s">
        <v>15</v>
      </c>
      <c r="B428">
        <v>17</v>
      </c>
      <c r="C428">
        <v>1</v>
      </c>
      <c r="D428">
        <v>3</v>
      </c>
      <c r="E428" t="str">
        <f>VLOOKUP(D428,[1]TEmplate!$E$54:$G$61,2,0)</f>
        <v>Doncaster Hockey Club</v>
      </c>
      <c r="F428" t="s">
        <v>5</v>
      </c>
      <c r="G428">
        <v>6</v>
      </c>
      <c r="H428" t="str">
        <f>VLOOKUP(G428,[1]TEmplate!$E$54:$G$61,2,0)</f>
        <v>Camberwell Hockey Club</v>
      </c>
      <c r="I428" t="str">
        <f>VLOOKUP(D428,[1]TEmplate!$E$54:$G$61,3,0)</f>
        <v>DON</v>
      </c>
      <c r="J428" s="4">
        <f>VLOOKUP(B428,[1]TEmplate!$AC$38:$AE$57,3,0)</f>
        <v>46253</v>
      </c>
    </row>
    <row r="429" spans="1:10" ht="15" thickBot="1" x14ac:dyDescent="0.35">
      <c r="A429" s="6" t="s">
        <v>15</v>
      </c>
      <c r="B429">
        <v>17</v>
      </c>
      <c r="C429">
        <v>2</v>
      </c>
      <c r="D429">
        <v>2</v>
      </c>
      <c r="E429" t="str">
        <f>VLOOKUP(D429,[1]TEmplate!$E$54:$G$61,2,0)</f>
        <v>Southern United Hockey Club 1</v>
      </c>
      <c r="F429" t="s">
        <v>5</v>
      </c>
      <c r="G429">
        <v>4</v>
      </c>
      <c r="H429" t="str">
        <f>VLOOKUP(G429,[1]TEmplate!$E$54:$G$61,2,0)</f>
        <v>Bye</v>
      </c>
      <c r="I429" t="str">
        <f>VLOOKUP(D429,[1]TEmplate!$E$54:$G$61,3,0)</f>
        <v>MBN</v>
      </c>
      <c r="J429" s="4">
        <f>VLOOKUP(B429,[1]TEmplate!$AC$38:$AE$57,3,0)</f>
        <v>46253</v>
      </c>
    </row>
    <row r="430" spans="1:10" ht="15" thickBot="1" x14ac:dyDescent="0.35">
      <c r="A430" s="6" t="s">
        <v>15</v>
      </c>
      <c r="B430">
        <v>17</v>
      </c>
      <c r="C430">
        <v>3</v>
      </c>
      <c r="D430">
        <v>1</v>
      </c>
      <c r="E430" t="str">
        <f>VLOOKUP(D430,[1]TEmplate!$E$54:$G$61,2,0)</f>
        <v>Southern United Hockey Club 2</v>
      </c>
      <c r="F430" t="s">
        <v>5</v>
      </c>
      <c r="G430">
        <v>5</v>
      </c>
      <c r="H430" t="str">
        <f>VLOOKUP(G430,[1]TEmplate!$E$54:$G$61,2,0)</f>
        <v>KBH Mustangs</v>
      </c>
      <c r="I430" t="str">
        <f>VLOOKUP(D430,[1]TEmplate!$E$54:$G$61,3,0)</f>
        <v>MBN</v>
      </c>
      <c r="J430" s="4">
        <f>VLOOKUP(B430,[1]TEmplate!$AC$38:$AE$57,3,0)</f>
        <v>46253</v>
      </c>
    </row>
    <row r="431" spans="1:10" ht="15" thickBot="1" x14ac:dyDescent="0.35">
      <c r="A431" s="6" t="s">
        <v>15</v>
      </c>
      <c r="B431">
        <v>18</v>
      </c>
      <c r="C431">
        <v>1</v>
      </c>
      <c r="D431">
        <v>3</v>
      </c>
      <c r="E431" t="str">
        <f>VLOOKUP(D431,[1]TEmplate!$E$54:$G$61,2,0)</f>
        <v>Doncaster Hockey Club</v>
      </c>
      <c r="F431" t="s">
        <v>5</v>
      </c>
      <c r="G431">
        <v>2</v>
      </c>
      <c r="H431" t="str">
        <f>VLOOKUP(G431,[1]TEmplate!$E$54:$G$61,2,0)</f>
        <v>Southern United Hockey Club 1</v>
      </c>
      <c r="I431" t="str">
        <f>VLOOKUP(D431,[1]TEmplate!$E$54:$G$61,3,0)</f>
        <v>DON</v>
      </c>
      <c r="J431" s="4">
        <f>VLOOKUP(B431,[1]TEmplate!$AC$38:$AE$57,3,0)</f>
        <v>46260</v>
      </c>
    </row>
    <row r="432" spans="1:10" ht="15" thickBot="1" x14ac:dyDescent="0.35">
      <c r="A432" s="6" t="s">
        <v>15</v>
      </c>
      <c r="B432">
        <v>18</v>
      </c>
      <c r="C432">
        <v>2</v>
      </c>
      <c r="D432">
        <v>6</v>
      </c>
      <c r="E432" t="str">
        <f>VLOOKUP(D432,[1]TEmplate!$E$54:$G$61,2,0)</f>
        <v>Camberwell Hockey Club</v>
      </c>
      <c r="F432" t="s">
        <v>5</v>
      </c>
      <c r="G432">
        <v>5</v>
      </c>
      <c r="H432" t="str">
        <f>VLOOKUP(G432,[1]TEmplate!$E$54:$G$61,2,0)</f>
        <v>KBH Mustangs</v>
      </c>
      <c r="I432" t="str">
        <f>VLOOKUP(D432,[1]TEmplate!$E$54:$G$61,3,0)</f>
        <v>CAM</v>
      </c>
      <c r="J432" s="4">
        <f>VLOOKUP(B432,[1]TEmplate!$AC$38:$AE$57,3,0)</f>
        <v>46260</v>
      </c>
    </row>
    <row r="433" spans="1:10" ht="15" thickBot="1" x14ac:dyDescent="0.35">
      <c r="A433" s="6" t="s">
        <v>15</v>
      </c>
      <c r="B433">
        <v>18</v>
      </c>
      <c r="C433">
        <v>3</v>
      </c>
      <c r="D433">
        <v>4</v>
      </c>
      <c r="E433" t="str">
        <f>VLOOKUP(D433,[1]TEmplate!$E$54:$G$61,2,0)</f>
        <v>Bye</v>
      </c>
      <c r="F433" t="s">
        <v>5</v>
      </c>
      <c r="G433">
        <v>1</v>
      </c>
      <c r="H433" t="str">
        <f>VLOOKUP(G433,[1]TEmplate!$E$54:$G$61,2,0)</f>
        <v>Southern United Hockey Club 2</v>
      </c>
      <c r="I433">
        <f>VLOOKUP(D433,[1]TEmplate!$E$54:$G$61,3,0)</f>
        <v>0</v>
      </c>
      <c r="J433" s="4">
        <f>VLOOKUP(B433,[1]TEmplate!$AC$38:$AE$57,3,0)</f>
        <v>46260</v>
      </c>
    </row>
    <row r="434" spans="1:10" x14ac:dyDescent="0.3">
      <c r="A434" s="7" t="s">
        <v>16</v>
      </c>
      <c r="B434">
        <v>1</v>
      </c>
      <c r="C434">
        <v>1</v>
      </c>
      <c r="D434">
        <v>2</v>
      </c>
      <c r="E434" t="str">
        <f>VLOOKUP(D434,[1]TEmplate!$I$54:$K$63,2,0)</f>
        <v>Melbourne University Hockey Club</v>
      </c>
      <c r="F434" t="s">
        <v>5</v>
      </c>
      <c r="G434">
        <v>1</v>
      </c>
      <c r="H434" t="str">
        <f>VLOOKUP(G434,[1]TEmplate!$I$54:$K$63,2,0)</f>
        <v>Camberwell Hockey Club</v>
      </c>
      <c r="I434" t="str">
        <f>VLOOKUP(D434,[1]TEmplate!$I$54:$K$63,3,0)</f>
        <v>FHC</v>
      </c>
      <c r="J434" s="4">
        <f>VLOOKUP(B434,[1]TEmplate!$AC$38:$AE$57,3,0)</f>
        <v>46127</v>
      </c>
    </row>
    <row r="435" spans="1:10" x14ac:dyDescent="0.3">
      <c r="A435" s="7" t="s">
        <v>16</v>
      </c>
      <c r="B435">
        <v>1</v>
      </c>
      <c r="C435">
        <v>2</v>
      </c>
      <c r="D435">
        <v>3</v>
      </c>
      <c r="E435" t="str">
        <f>VLOOKUP(D435,[1]TEmplate!$I$54:$K$63,2,0)</f>
        <v>KBH Brumbies Hockey Club</v>
      </c>
      <c r="F435" t="s">
        <v>5</v>
      </c>
      <c r="G435">
        <v>7</v>
      </c>
      <c r="H435" t="str">
        <f>VLOOKUP(G435,[1]TEmplate!$I$54:$K$63,2,0)</f>
        <v>Southern B</v>
      </c>
      <c r="I435" t="str">
        <f>VLOOKUP(D435,[1]TEmplate!$I$54:$K$63,3,0)</f>
        <v>ELG</v>
      </c>
      <c r="J435" s="4">
        <f>VLOOKUP(B435,[1]TEmplate!$AC$38:$AE$57,3,0)</f>
        <v>46127</v>
      </c>
    </row>
    <row r="436" spans="1:10" x14ac:dyDescent="0.3">
      <c r="A436" s="7" t="s">
        <v>16</v>
      </c>
      <c r="B436">
        <v>1</v>
      </c>
      <c r="C436">
        <v>3</v>
      </c>
      <c r="D436">
        <v>4</v>
      </c>
      <c r="E436" t="str">
        <f>VLOOKUP(D436,[1]TEmplate!$I$54:$K$63,2,0)</f>
        <v>Bayside Powerhouse Saints Hockey Club</v>
      </c>
      <c r="F436" t="s">
        <v>5</v>
      </c>
      <c r="G436">
        <v>6</v>
      </c>
      <c r="H436" t="str">
        <f>VLOOKUP(G436,[1]TEmplate!$I$54:$K$63,2,0)</f>
        <v>Brunswick Hockey Club</v>
      </c>
      <c r="I436" t="str">
        <f>VLOOKUP(D436,[1]TEmplate!$I$54:$K$63,3,0)</f>
        <v>APK</v>
      </c>
      <c r="J436" s="4">
        <f>VLOOKUP(B436,[1]TEmplate!$AC$38:$AE$57,3,0)</f>
        <v>46127</v>
      </c>
    </row>
    <row r="437" spans="1:10" x14ac:dyDescent="0.3">
      <c r="A437" s="7" t="s">
        <v>16</v>
      </c>
      <c r="B437">
        <v>1</v>
      </c>
      <c r="C437">
        <v>4</v>
      </c>
      <c r="D437">
        <v>5</v>
      </c>
      <c r="E437" t="str">
        <f>VLOOKUP(D437,[1]TEmplate!$I$54:$K$63,2,0)</f>
        <v>Greensborough Hockey Club</v>
      </c>
      <c r="F437" t="s">
        <v>5</v>
      </c>
      <c r="G437">
        <v>8</v>
      </c>
      <c r="H437" t="str">
        <f>VLOOKUP(G437,[1]TEmplate!$I$54:$K$63,2,0)</f>
        <v>Southern A</v>
      </c>
      <c r="I437" t="str">
        <f>VLOOKUP(D437,[1]TEmplate!$I$54:$K$63,3,0)</f>
        <v>GRN</v>
      </c>
      <c r="J437" s="4">
        <f>VLOOKUP(B437,[1]TEmplate!$AC$38:$AE$57,3,0)</f>
        <v>46127</v>
      </c>
    </row>
    <row r="438" spans="1:10" x14ac:dyDescent="0.3">
      <c r="A438" s="7" t="s">
        <v>16</v>
      </c>
      <c r="B438">
        <v>2</v>
      </c>
      <c r="C438">
        <v>1</v>
      </c>
      <c r="D438">
        <v>1</v>
      </c>
      <c r="E438" t="str">
        <f>VLOOKUP(D438,[1]TEmplate!$I$54:$K$63,2,0)</f>
        <v>Camberwell Hockey Club</v>
      </c>
      <c r="F438" t="s">
        <v>5</v>
      </c>
      <c r="G438">
        <v>3</v>
      </c>
      <c r="H438" t="str">
        <f>VLOOKUP(G438,[1]TEmplate!$I$54:$K$63,2,0)</f>
        <v>KBH Brumbies Hockey Club</v>
      </c>
      <c r="I438" t="str">
        <f>VLOOKUP(D438,[1]TEmplate!$I$54:$K$63,3,0)</f>
        <v>CAM</v>
      </c>
      <c r="J438" s="4">
        <f>VLOOKUP(B438,[1]TEmplate!$AC$38:$AE$57,3,0)</f>
        <v>46134</v>
      </c>
    </row>
    <row r="439" spans="1:10" x14ac:dyDescent="0.3">
      <c r="A439" s="7" t="s">
        <v>16</v>
      </c>
      <c r="B439">
        <v>2</v>
      </c>
      <c r="C439">
        <v>2</v>
      </c>
      <c r="D439">
        <v>6</v>
      </c>
      <c r="E439" t="str">
        <f>VLOOKUP(D439,[1]TEmplate!$I$54:$K$63,2,0)</f>
        <v>Brunswick Hockey Club</v>
      </c>
      <c r="F439" t="s">
        <v>5</v>
      </c>
      <c r="G439">
        <v>5</v>
      </c>
      <c r="H439" t="str">
        <f>VLOOKUP(G439,[1]TEmplate!$I$54:$K$63,2,0)</f>
        <v>Greensborough Hockey Club</v>
      </c>
      <c r="I439" t="str">
        <f>VLOOKUP(D439,[1]TEmplate!$I$54:$K$63,3,0)</f>
        <v>BRU</v>
      </c>
      <c r="J439" s="4">
        <f>VLOOKUP(B439,[1]TEmplate!$AC$38:$AE$57,3,0)</f>
        <v>46134</v>
      </c>
    </row>
    <row r="440" spans="1:10" x14ac:dyDescent="0.3">
      <c r="A440" s="7" t="s">
        <v>16</v>
      </c>
      <c r="B440">
        <v>2</v>
      </c>
      <c r="C440">
        <v>3</v>
      </c>
      <c r="D440">
        <v>7</v>
      </c>
      <c r="E440" t="str">
        <f>VLOOKUP(D440,[1]TEmplate!$I$54:$K$63,2,0)</f>
        <v>Southern B</v>
      </c>
      <c r="F440" t="s">
        <v>5</v>
      </c>
      <c r="G440">
        <v>4</v>
      </c>
      <c r="H440" t="str">
        <f>VLOOKUP(G440,[1]TEmplate!$I$54:$K$63,2,0)</f>
        <v>Bayside Powerhouse Saints Hockey Club</v>
      </c>
      <c r="I440" t="str">
        <f>VLOOKUP(D440,[1]TEmplate!$I$54:$K$63,3,0)</f>
        <v>DAN</v>
      </c>
      <c r="J440" s="4">
        <f>VLOOKUP(B440,[1]TEmplate!$AC$38:$AE$57,3,0)</f>
        <v>46134</v>
      </c>
    </row>
    <row r="441" spans="1:10" x14ac:dyDescent="0.3">
      <c r="A441" s="7" t="s">
        <v>16</v>
      </c>
      <c r="B441">
        <v>2</v>
      </c>
      <c r="C441">
        <v>4</v>
      </c>
      <c r="D441">
        <v>8</v>
      </c>
      <c r="E441" t="str">
        <f>VLOOKUP(D441,[1]TEmplate!$I$54:$K$63,2,0)</f>
        <v>Southern A</v>
      </c>
      <c r="F441" t="s">
        <v>5</v>
      </c>
      <c r="G441">
        <v>2</v>
      </c>
      <c r="H441" t="str">
        <f>VLOOKUP(G441,[1]TEmplate!$I$54:$K$63,2,0)</f>
        <v>Melbourne University Hockey Club</v>
      </c>
      <c r="I441" t="str">
        <f>VLOOKUP(D441,[1]TEmplate!$I$54:$K$63,3,0)</f>
        <v>DAN</v>
      </c>
      <c r="J441" s="4">
        <f>VLOOKUP(B441,[1]TEmplate!$AC$38:$AE$57,3,0)</f>
        <v>46134</v>
      </c>
    </row>
    <row r="442" spans="1:10" x14ac:dyDescent="0.3">
      <c r="A442" s="7" t="s">
        <v>16</v>
      </c>
      <c r="B442">
        <v>3</v>
      </c>
      <c r="C442">
        <v>1</v>
      </c>
      <c r="D442">
        <v>3</v>
      </c>
      <c r="E442" t="str">
        <f>VLOOKUP(D442,[1]TEmplate!$I$54:$K$63,2,0)</f>
        <v>KBH Brumbies Hockey Club</v>
      </c>
      <c r="F442" t="s">
        <v>5</v>
      </c>
      <c r="G442">
        <v>2</v>
      </c>
      <c r="H442" t="str">
        <f>VLOOKUP(G442,[1]TEmplate!$I$54:$K$63,2,0)</f>
        <v>Melbourne University Hockey Club</v>
      </c>
      <c r="I442" t="str">
        <f>VLOOKUP(D442,[1]TEmplate!$I$54:$K$63,3,0)</f>
        <v>ELG</v>
      </c>
      <c r="J442" s="4">
        <f>VLOOKUP(B442,[1]TEmplate!$AC$38:$AE$57,3,0)</f>
        <v>46141</v>
      </c>
    </row>
    <row r="443" spans="1:10" x14ac:dyDescent="0.3">
      <c r="A443" s="7" t="s">
        <v>16</v>
      </c>
      <c r="B443">
        <v>3</v>
      </c>
      <c r="C443">
        <v>2</v>
      </c>
      <c r="D443">
        <v>4</v>
      </c>
      <c r="E443" t="str">
        <f>VLOOKUP(D443,[1]TEmplate!$I$54:$K$63,2,0)</f>
        <v>Bayside Powerhouse Saints Hockey Club</v>
      </c>
      <c r="F443" t="s">
        <v>5</v>
      </c>
      <c r="G443">
        <v>1</v>
      </c>
      <c r="H443" t="str">
        <f>VLOOKUP(G443,[1]TEmplate!$I$54:$K$63,2,0)</f>
        <v>Camberwell Hockey Club</v>
      </c>
      <c r="I443" t="str">
        <f>VLOOKUP(D443,[1]TEmplate!$I$54:$K$63,3,0)</f>
        <v>APK</v>
      </c>
      <c r="J443" s="4">
        <f>VLOOKUP(B443,[1]TEmplate!$AC$38:$AE$57,3,0)</f>
        <v>46141</v>
      </c>
    </row>
    <row r="444" spans="1:10" x14ac:dyDescent="0.3">
      <c r="A444" s="7" t="s">
        <v>16</v>
      </c>
      <c r="B444">
        <v>3</v>
      </c>
      <c r="C444">
        <v>3</v>
      </c>
      <c r="D444">
        <v>5</v>
      </c>
      <c r="E444" t="str">
        <f>VLOOKUP(D444,[1]TEmplate!$I$54:$K$63,2,0)</f>
        <v>Greensborough Hockey Club</v>
      </c>
      <c r="F444" t="s">
        <v>5</v>
      </c>
      <c r="G444">
        <v>7</v>
      </c>
      <c r="H444" t="str">
        <f>VLOOKUP(G444,[1]TEmplate!$I$54:$K$63,2,0)</f>
        <v>Southern B</v>
      </c>
      <c r="I444" t="str">
        <f>VLOOKUP(D444,[1]TEmplate!$I$54:$K$63,3,0)</f>
        <v>GRN</v>
      </c>
      <c r="J444" s="4">
        <f>VLOOKUP(B444,[1]TEmplate!$AC$38:$AE$57,3,0)</f>
        <v>46141</v>
      </c>
    </row>
    <row r="445" spans="1:10" x14ac:dyDescent="0.3">
      <c r="A445" s="7" t="s">
        <v>16</v>
      </c>
      <c r="B445">
        <v>3</v>
      </c>
      <c r="C445">
        <v>4</v>
      </c>
      <c r="D445">
        <v>6</v>
      </c>
      <c r="E445" t="str">
        <f>VLOOKUP(D445,[1]TEmplate!$I$54:$K$63,2,0)</f>
        <v>Brunswick Hockey Club</v>
      </c>
      <c r="F445" t="s">
        <v>5</v>
      </c>
      <c r="G445">
        <v>8</v>
      </c>
      <c r="H445" t="str">
        <f>VLOOKUP(G445,[1]TEmplate!$I$54:$K$63,2,0)</f>
        <v>Southern A</v>
      </c>
      <c r="I445" t="str">
        <f>VLOOKUP(D445,[1]TEmplate!$I$54:$K$63,3,0)</f>
        <v>BRU</v>
      </c>
      <c r="J445" s="4">
        <f>VLOOKUP(B445,[1]TEmplate!$AC$38:$AE$57,3,0)</f>
        <v>46141</v>
      </c>
    </row>
    <row r="446" spans="1:10" x14ac:dyDescent="0.3">
      <c r="A446" s="7" t="s">
        <v>16</v>
      </c>
      <c r="B446">
        <v>4</v>
      </c>
      <c r="C446">
        <v>1</v>
      </c>
      <c r="D446">
        <v>1</v>
      </c>
      <c r="E446" t="str">
        <f>VLOOKUP(D446,[1]TEmplate!$I$54:$K$63,2,0)</f>
        <v>Camberwell Hockey Club</v>
      </c>
      <c r="F446" t="s">
        <v>5</v>
      </c>
      <c r="G446">
        <v>5</v>
      </c>
      <c r="H446" t="str">
        <f>VLOOKUP(G446,[1]TEmplate!$I$54:$K$63,2,0)</f>
        <v>Greensborough Hockey Club</v>
      </c>
      <c r="I446" t="str">
        <f>VLOOKUP(D446,[1]TEmplate!$I$54:$K$63,3,0)</f>
        <v>CAM</v>
      </c>
      <c r="J446" s="4">
        <f>VLOOKUP(B446,[1]TEmplate!$AC$38:$AE$57,3,0)</f>
        <v>46148</v>
      </c>
    </row>
    <row r="447" spans="1:10" x14ac:dyDescent="0.3">
      <c r="A447" s="7" t="s">
        <v>16</v>
      </c>
      <c r="B447">
        <v>4</v>
      </c>
      <c r="C447">
        <v>2</v>
      </c>
      <c r="D447">
        <v>2</v>
      </c>
      <c r="E447" t="str">
        <f>VLOOKUP(D447,[1]TEmplate!$I$54:$K$63,2,0)</f>
        <v>Melbourne University Hockey Club</v>
      </c>
      <c r="F447" t="s">
        <v>5</v>
      </c>
      <c r="G447">
        <v>4</v>
      </c>
      <c r="H447" t="str">
        <f>VLOOKUP(G447,[1]TEmplate!$I$54:$K$63,2,0)</f>
        <v>Bayside Powerhouse Saints Hockey Club</v>
      </c>
      <c r="I447" t="str">
        <f>VLOOKUP(D447,[1]TEmplate!$I$54:$K$63,3,0)</f>
        <v>FHC</v>
      </c>
      <c r="J447" s="4">
        <f>VLOOKUP(B447,[1]TEmplate!$AC$38:$AE$57,3,0)</f>
        <v>46148</v>
      </c>
    </row>
    <row r="448" spans="1:10" x14ac:dyDescent="0.3">
      <c r="A448" s="7" t="s">
        <v>16</v>
      </c>
      <c r="B448">
        <v>4</v>
      </c>
      <c r="C448">
        <v>3</v>
      </c>
      <c r="D448">
        <v>7</v>
      </c>
      <c r="E448" t="str">
        <f>VLOOKUP(D448,[1]TEmplate!$I$54:$K$63,2,0)</f>
        <v>Southern B</v>
      </c>
      <c r="F448" t="s">
        <v>5</v>
      </c>
      <c r="G448">
        <v>6</v>
      </c>
      <c r="H448" t="str">
        <f>VLOOKUP(G448,[1]TEmplate!$I$54:$K$63,2,0)</f>
        <v>Brunswick Hockey Club</v>
      </c>
      <c r="I448" t="str">
        <f>VLOOKUP(D448,[1]TEmplate!$I$54:$K$63,3,0)</f>
        <v>DAN</v>
      </c>
      <c r="J448" s="4">
        <f>VLOOKUP(B448,[1]TEmplate!$AC$38:$AE$57,3,0)</f>
        <v>46148</v>
      </c>
    </row>
    <row r="449" spans="1:10" x14ac:dyDescent="0.3">
      <c r="A449" s="7" t="s">
        <v>16</v>
      </c>
      <c r="B449">
        <v>4</v>
      </c>
      <c r="C449">
        <v>4</v>
      </c>
      <c r="D449">
        <v>8</v>
      </c>
      <c r="E449" t="str">
        <f>VLOOKUP(D449,[1]TEmplate!$I$54:$K$63,2,0)</f>
        <v>Southern A</v>
      </c>
      <c r="F449" t="s">
        <v>5</v>
      </c>
      <c r="G449">
        <v>3</v>
      </c>
      <c r="H449" t="str">
        <f>VLOOKUP(G449,[1]TEmplate!$I$54:$K$63,2,0)</f>
        <v>KBH Brumbies Hockey Club</v>
      </c>
      <c r="I449" t="str">
        <f>VLOOKUP(D449,[1]TEmplate!$I$54:$K$63,3,0)</f>
        <v>DAN</v>
      </c>
      <c r="J449" s="4">
        <f>VLOOKUP(B449,[1]TEmplate!$AC$38:$AE$57,3,0)</f>
        <v>46148</v>
      </c>
    </row>
    <row r="450" spans="1:10" x14ac:dyDescent="0.3">
      <c r="A450" s="7" t="s">
        <v>16</v>
      </c>
      <c r="B450">
        <v>5</v>
      </c>
      <c r="C450">
        <v>1</v>
      </c>
      <c r="D450">
        <v>4</v>
      </c>
      <c r="E450" t="str">
        <f>VLOOKUP(D450,[1]TEmplate!$I$54:$K$63,2,0)</f>
        <v>Bayside Powerhouse Saints Hockey Club</v>
      </c>
      <c r="F450" t="s">
        <v>5</v>
      </c>
      <c r="G450">
        <v>3</v>
      </c>
      <c r="H450" t="str">
        <f>VLOOKUP(G450,[1]TEmplate!$I$54:$K$63,2,0)</f>
        <v>KBH Brumbies Hockey Club</v>
      </c>
      <c r="I450" t="str">
        <f>VLOOKUP(D450,[1]TEmplate!$I$54:$K$63,3,0)</f>
        <v>APK</v>
      </c>
      <c r="J450" s="4">
        <f>VLOOKUP(B450,[1]TEmplate!$AC$38:$AE$57,3,0)</f>
        <v>46155</v>
      </c>
    </row>
    <row r="451" spans="1:10" x14ac:dyDescent="0.3">
      <c r="A451" s="7" t="s">
        <v>16</v>
      </c>
      <c r="B451">
        <v>5</v>
      </c>
      <c r="C451">
        <v>2</v>
      </c>
      <c r="D451">
        <v>5</v>
      </c>
      <c r="E451" t="str">
        <f>VLOOKUP(D451,[1]TEmplate!$I$54:$K$63,2,0)</f>
        <v>Greensborough Hockey Club</v>
      </c>
      <c r="F451" t="s">
        <v>5</v>
      </c>
      <c r="G451">
        <v>2</v>
      </c>
      <c r="H451" t="str">
        <f>VLOOKUP(G451,[1]TEmplate!$I$54:$K$63,2,0)</f>
        <v>Melbourne University Hockey Club</v>
      </c>
      <c r="I451" t="str">
        <f>VLOOKUP(D451,[1]TEmplate!$I$54:$K$63,3,0)</f>
        <v>GRN</v>
      </c>
      <c r="J451" s="4">
        <f>VLOOKUP(B451,[1]TEmplate!$AC$38:$AE$57,3,0)</f>
        <v>46155</v>
      </c>
    </row>
    <row r="452" spans="1:10" x14ac:dyDescent="0.3">
      <c r="A452" s="7" t="s">
        <v>16</v>
      </c>
      <c r="B452">
        <v>5</v>
      </c>
      <c r="C452">
        <v>3</v>
      </c>
      <c r="D452">
        <v>6</v>
      </c>
      <c r="E452" t="str">
        <f>VLOOKUP(D452,[1]TEmplate!$I$54:$K$63,2,0)</f>
        <v>Brunswick Hockey Club</v>
      </c>
      <c r="F452" t="s">
        <v>5</v>
      </c>
      <c r="G452">
        <v>1</v>
      </c>
      <c r="H452" t="str">
        <f>VLOOKUP(G452,[1]TEmplate!$I$54:$K$63,2,0)</f>
        <v>Camberwell Hockey Club</v>
      </c>
      <c r="I452" t="str">
        <f>VLOOKUP(D452,[1]TEmplate!$I$54:$K$63,3,0)</f>
        <v>BRU</v>
      </c>
      <c r="J452" s="4">
        <f>VLOOKUP(B452,[1]TEmplate!$AC$38:$AE$57,3,0)</f>
        <v>46155</v>
      </c>
    </row>
    <row r="453" spans="1:10" x14ac:dyDescent="0.3">
      <c r="A453" s="7" t="s">
        <v>16</v>
      </c>
      <c r="B453">
        <v>5</v>
      </c>
      <c r="C453">
        <v>4</v>
      </c>
      <c r="D453">
        <v>7</v>
      </c>
      <c r="E453" t="str">
        <f>VLOOKUP(D453,[1]TEmplate!$I$54:$K$63,2,0)</f>
        <v>Southern B</v>
      </c>
      <c r="F453" t="s">
        <v>5</v>
      </c>
      <c r="G453">
        <v>8</v>
      </c>
      <c r="H453" t="str">
        <f>VLOOKUP(G453,[1]TEmplate!$I$54:$K$63,2,0)</f>
        <v>Southern A</v>
      </c>
      <c r="I453" t="str">
        <f>VLOOKUP(D453,[1]TEmplate!$I$54:$K$63,3,0)</f>
        <v>DAN</v>
      </c>
      <c r="J453" s="4">
        <f>VLOOKUP(B453,[1]TEmplate!$AC$38:$AE$57,3,0)</f>
        <v>46155</v>
      </c>
    </row>
    <row r="454" spans="1:10" x14ac:dyDescent="0.3">
      <c r="A454" s="7" t="s">
        <v>16</v>
      </c>
      <c r="B454">
        <v>6</v>
      </c>
      <c r="C454">
        <v>1</v>
      </c>
      <c r="D454">
        <v>1</v>
      </c>
      <c r="E454" t="str">
        <f>VLOOKUP(D454,[1]TEmplate!$I$54:$K$63,2,0)</f>
        <v>Camberwell Hockey Club</v>
      </c>
      <c r="F454" t="s">
        <v>5</v>
      </c>
      <c r="G454">
        <v>7</v>
      </c>
      <c r="H454" t="str">
        <f>VLOOKUP(G454,[1]TEmplate!$I$54:$K$63,2,0)</f>
        <v>Southern B</v>
      </c>
      <c r="I454" t="str">
        <f>VLOOKUP(D454,[1]TEmplate!$I$54:$K$63,3,0)</f>
        <v>CAM</v>
      </c>
      <c r="J454" s="4">
        <f>VLOOKUP(B454,[1]TEmplate!$AC$38:$AE$57,3,0)</f>
        <v>46162</v>
      </c>
    </row>
    <row r="455" spans="1:10" x14ac:dyDescent="0.3">
      <c r="A455" s="7" t="s">
        <v>16</v>
      </c>
      <c r="B455">
        <v>6</v>
      </c>
      <c r="C455">
        <v>2</v>
      </c>
      <c r="D455">
        <v>2</v>
      </c>
      <c r="E455" t="str">
        <f>VLOOKUP(D455,[1]TEmplate!$I$54:$K$63,2,0)</f>
        <v>Melbourne University Hockey Club</v>
      </c>
      <c r="F455" t="s">
        <v>5</v>
      </c>
      <c r="G455">
        <v>6</v>
      </c>
      <c r="H455" t="str">
        <f>VLOOKUP(G455,[1]TEmplate!$I$54:$K$63,2,0)</f>
        <v>Brunswick Hockey Club</v>
      </c>
      <c r="I455" t="str">
        <f>VLOOKUP(D455,[1]TEmplate!$I$54:$K$63,3,0)</f>
        <v>FHC</v>
      </c>
      <c r="J455" s="4">
        <f>VLOOKUP(B455,[1]TEmplate!$AC$38:$AE$57,3,0)</f>
        <v>46162</v>
      </c>
    </row>
    <row r="456" spans="1:10" x14ac:dyDescent="0.3">
      <c r="A456" s="7" t="s">
        <v>16</v>
      </c>
      <c r="B456">
        <v>6</v>
      </c>
      <c r="C456">
        <v>3</v>
      </c>
      <c r="D456">
        <v>3</v>
      </c>
      <c r="E456" t="str">
        <f>VLOOKUP(D456,[1]TEmplate!$I$54:$K$63,2,0)</f>
        <v>KBH Brumbies Hockey Club</v>
      </c>
      <c r="F456" t="s">
        <v>5</v>
      </c>
      <c r="G456">
        <v>5</v>
      </c>
      <c r="H456" t="str">
        <f>VLOOKUP(G456,[1]TEmplate!$I$54:$K$63,2,0)</f>
        <v>Greensborough Hockey Club</v>
      </c>
      <c r="I456" t="str">
        <f>VLOOKUP(D456,[1]TEmplate!$I$54:$K$63,3,0)</f>
        <v>ELG</v>
      </c>
      <c r="J456" s="4">
        <f>VLOOKUP(B456,[1]TEmplate!$AC$38:$AE$57,3,0)</f>
        <v>46162</v>
      </c>
    </row>
    <row r="457" spans="1:10" x14ac:dyDescent="0.3">
      <c r="A457" s="7" t="s">
        <v>16</v>
      </c>
      <c r="B457">
        <v>6</v>
      </c>
      <c r="C457">
        <v>4</v>
      </c>
      <c r="D457">
        <v>4</v>
      </c>
      <c r="E457" t="str">
        <f>VLOOKUP(D457,[1]TEmplate!$I$54:$K$63,2,0)</f>
        <v>Bayside Powerhouse Saints Hockey Club</v>
      </c>
      <c r="F457" t="s">
        <v>5</v>
      </c>
      <c r="G457">
        <v>8</v>
      </c>
      <c r="H457" t="str">
        <f>VLOOKUP(G457,[1]TEmplate!$I$54:$K$63,2,0)</f>
        <v>Southern A</v>
      </c>
      <c r="I457" t="str">
        <f>VLOOKUP(D457,[1]TEmplate!$I$54:$K$63,3,0)</f>
        <v>APK</v>
      </c>
      <c r="J457" s="4">
        <f>VLOOKUP(B457,[1]TEmplate!$AC$38:$AE$57,3,0)</f>
        <v>46162</v>
      </c>
    </row>
    <row r="458" spans="1:10" x14ac:dyDescent="0.3">
      <c r="A458" s="7" t="s">
        <v>16</v>
      </c>
      <c r="B458">
        <v>7</v>
      </c>
      <c r="C458">
        <v>1</v>
      </c>
      <c r="D458">
        <v>5</v>
      </c>
      <c r="E458" t="str">
        <f>VLOOKUP(D458,[1]TEmplate!$I$54:$K$63,2,0)</f>
        <v>Greensborough Hockey Club</v>
      </c>
      <c r="F458" t="s">
        <v>5</v>
      </c>
      <c r="G458">
        <v>4</v>
      </c>
      <c r="H458" t="str">
        <f>VLOOKUP(G458,[1]TEmplate!$I$54:$K$63,2,0)</f>
        <v>Bayside Powerhouse Saints Hockey Club</v>
      </c>
      <c r="I458" t="str">
        <f>VLOOKUP(D458,[1]TEmplate!$I$54:$K$63,3,0)</f>
        <v>GRN</v>
      </c>
      <c r="J458" s="4">
        <f>VLOOKUP(B458,[1]TEmplate!$AC$38:$AE$57,3,0)</f>
        <v>46169</v>
      </c>
    </row>
    <row r="459" spans="1:10" x14ac:dyDescent="0.3">
      <c r="A459" s="7" t="s">
        <v>16</v>
      </c>
      <c r="B459">
        <v>7</v>
      </c>
      <c r="C459">
        <v>2</v>
      </c>
      <c r="D459">
        <v>6</v>
      </c>
      <c r="E459" t="str">
        <f>VLOOKUP(D459,[1]TEmplate!$I$54:$K$63,2,0)</f>
        <v>Brunswick Hockey Club</v>
      </c>
      <c r="F459" t="s">
        <v>5</v>
      </c>
      <c r="G459">
        <v>3</v>
      </c>
      <c r="H459" t="str">
        <f>VLOOKUP(G459,[1]TEmplate!$I$54:$K$63,2,0)</f>
        <v>KBH Brumbies Hockey Club</v>
      </c>
      <c r="I459" t="str">
        <f>VLOOKUP(D459,[1]TEmplate!$I$54:$K$63,3,0)</f>
        <v>BRU</v>
      </c>
      <c r="J459" s="4">
        <f>VLOOKUP(B459,[1]TEmplate!$AC$38:$AE$57,3,0)</f>
        <v>46169</v>
      </c>
    </row>
    <row r="460" spans="1:10" x14ac:dyDescent="0.3">
      <c r="A460" s="7" t="s">
        <v>16</v>
      </c>
      <c r="B460">
        <v>7</v>
      </c>
      <c r="C460">
        <v>3</v>
      </c>
      <c r="D460">
        <v>7</v>
      </c>
      <c r="E460" t="str">
        <f>VLOOKUP(D460,[1]TEmplate!$I$54:$K$63,2,0)</f>
        <v>Southern B</v>
      </c>
      <c r="F460" t="s">
        <v>5</v>
      </c>
      <c r="G460">
        <v>2</v>
      </c>
      <c r="H460" t="str">
        <f>VLOOKUP(G460,[1]TEmplate!$I$54:$K$63,2,0)</f>
        <v>Melbourne University Hockey Club</v>
      </c>
      <c r="I460" t="str">
        <f>VLOOKUP(D460,[1]TEmplate!$I$54:$K$63,3,0)</f>
        <v>DAN</v>
      </c>
      <c r="J460" s="4">
        <f>VLOOKUP(B460,[1]TEmplate!$AC$38:$AE$57,3,0)</f>
        <v>46169</v>
      </c>
    </row>
    <row r="461" spans="1:10" x14ac:dyDescent="0.3">
      <c r="A461" s="7" t="s">
        <v>16</v>
      </c>
      <c r="B461">
        <v>7</v>
      </c>
      <c r="C461">
        <v>4</v>
      </c>
      <c r="D461">
        <v>8</v>
      </c>
      <c r="E461" t="str">
        <f>VLOOKUP(D461,[1]TEmplate!$I$54:$K$63,2,0)</f>
        <v>Southern A</v>
      </c>
      <c r="F461" t="s">
        <v>5</v>
      </c>
      <c r="G461">
        <v>1</v>
      </c>
      <c r="H461" t="str">
        <f>VLOOKUP(G461,[1]TEmplate!$I$54:$K$63,2,0)</f>
        <v>Camberwell Hockey Club</v>
      </c>
      <c r="I461" t="str">
        <f>VLOOKUP(D461,[1]TEmplate!$I$54:$K$63,3,0)</f>
        <v>DAN</v>
      </c>
      <c r="J461" s="4">
        <f>VLOOKUP(B461,[1]TEmplate!$AC$38:$AE$57,3,0)</f>
        <v>46169</v>
      </c>
    </row>
    <row r="462" spans="1:10" x14ac:dyDescent="0.3">
      <c r="A462" s="7" t="s">
        <v>16</v>
      </c>
      <c r="B462">
        <v>8</v>
      </c>
      <c r="C462">
        <v>1</v>
      </c>
      <c r="D462">
        <v>1</v>
      </c>
      <c r="E462" t="str">
        <f>VLOOKUP(D462,[1]TEmplate!$I$54:$K$63,2,0)</f>
        <v>Camberwell Hockey Club</v>
      </c>
      <c r="F462" t="s">
        <v>5</v>
      </c>
      <c r="G462">
        <v>2</v>
      </c>
      <c r="H462" t="str">
        <f>VLOOKUP(G462,[1]TEmplate!$I$54:$K$63,2,0)</f>
        <v>Melbourne University Hockey Club</v>
      </c>
      <c r="I462" t="str">
        <f>VLOOKUP(D462,[1]TEmplate!$I$54:$K$63,3,0)</f>
        <v>CAM</v>
      </c>
      <c r="J462" s="4">
        <f>VLOOKUP(B462,[1]TEmplate!$AC$38:$AE$57,3,0)</f>
        <v>46176</v>
      </c>
    </row>
    <row r="463" spans="1:10" x14ac:dyDescent="0.3">
      <c r="A463" s="7" t="s">
        <v>16</v>
      </c>
      <c r="B463">
        <v>8</v>
      </c>
      <c r="C463">
        <v>2</v>
      </c>
      <c r="D463">
        <v>7</v>
      </c>
      <c r="E463" t="str">
        <f>VLOOKUP(D463,[1]TEmplate!$I$54:$K$63,2,0)</f>
        <v>Southern B</v>
      </c>
      <c r="F463" t="s">
        <v>5</v>
      </c>
      <c r="G463">
        <v>3</v>
      </c>
      <c r="H463" t="str">
        <f>VLOOKUP(G463,[1]TEmplate!$I$54:$K$63,2,0)</f>
        <v>KBH Brumbies Hockey Club</v>
      </c>
      <c r="I463" t="str">
        <f>VLOOKUP(D463,[1]TEmplate!$I$54:$K$63,3,0)</f>
        <v>DAN</v>
      </c>
      <c r="J463" s="4">
        <f>VLOOKUP(B463,[1]TEmplate!$AC$38:$AE$57,3,0)</f>
        <v>46176</v>
      </c>
    </row>
    <row r="464" spans="1:10" x14ac:dyDescent="0.3">
      <c r="A464" s="7" t="s">
        <v>16</v>
      </c>
      <c r="B464">
        <v>8</v>
      </c>
      <c r="C464">
        <v>3</v>
      </c>
      <c r="D464">
        <v>6</v>
      </c>
      <c r="E464" t="str">
        <f>VLOOKUP(D464,[1]TEmplate!$I$54:$K$63,2,0)</f>
        <v>Brunswick Hockey Club</v>
      </c>
      <c r="F464" t="s">
        <v>5</v>
      </c>
      <c r="G464">
        <v>4</v>
      </c>
      <c r="H464" t="str">
        <f>VLOOKUP(G464,[1]TEmplate!$I$54:$K$63,2,0)</f>
        <v>Bayside Powerhouse Saints Hockey Club</v>
      </c>
      <c r="I464" t="str">
        <f>VLOOKUP(D464,[1]TEmplate!$I$54:$K$63,3,0)</f>
        <v>BRU</v>
      </c>
      <c r="J464" s="4">
        <f>VLOOKUP(B464,[1]TEmplate!$AC$38:$AE$57,3,0)</f>
        <v>46176</v>
      </c>
    </row>
    <row r="465" spans="1:10" x14ac:dyDescent="0.3">
      <c r="A465" s="7" t="s">
        <v>16</v>
      </c>
      <c r="B465">
        <v>8</v>
      </c>
      <c r="C465">
        <v>4</v>
      </c>
      <c r="D465">
        <v>8</v>
      </c>
      <c r="E465" t="str">
        <f>VLOOKUP(D465,[1]TEmplate!$I$54:$K$63,2,0)</f>
        <v>Southern A</v>
      </c>
      <c r="F465" t="s">
        <v>5</v>
      </c>
      <c r="G465">
        <v>5</v>
      </c>
      <c r="H465" t="str">
        <f>VLOOKUP(G465,[1]TEmplate!$I$54:$K$63,2,0)</f>
        <v>Greensborough Hockey Club</v>
      </c>
      <c r="I465" t="str">
        <f>VLOOKUP(D465,[1]TEmplate!$I$54:$K$63,3,0)</f>
        <v>DAN</v>
      </c>
      <c r="J465" s="4">
        <f>VLOOKUP(B465,[1]TEmplate!$AC$38:$AE$57,3,0)</f>
        <v>46176</v>
      </c>
    </row>
    <row r="466" spans="1:10" x14ac:dyDescent="0.3">
      <c r="A466" s="7" t="s">
        <v>16</v>
      </c>
      <c r="B466">
        <v>9</v>
      </c>
      <c r="C466">
        <v>1</v>
      </c>
      <c r="D466">
        <v>3</v>
      </c>
      <c r="E466" t="str">
        <f>VLOOKUP(D466,[1]TEmplate!$I$54:$K$63,2,0)</f>
        <v>KBH Brumbies Hockey Club</v>
      </c>
      <c r="F466" t="s">
        <v>5</v>
      </c>
      <c r="G466">
        <v>1</v>
      </c>
      <c r="H466" t="str">
        <f>VLOOKUP(G466,[1]TEmplate!$I$54:$K$63,2,0)</f>
        <v>Camberwell Hockey Club</v>
      </c>
      <c r="I466" t="str">
        <f>VLOOKUP(D466,[1]TEmplate!$I$54:$K$63,3,0)</f>
        <v>ELG</v>
      </c>
      <c r="J466" s="4">
        <f>VLOOKUP(B466,[1]TEmplate!$AC$38:$AE$57,3,0)</f>
        <v>46190</v>
      </c>
    </row>
    <row r="467" spans="1:10" x14ac:dyDescent="0.3">
      <c r="A467" s="7" t="s">
        <v>16</v>
      </c>
      <c r="B467">
        <v>9</v>
      </c>
      <c r="C467">
        <v>2</v>
      </c>
      <c r="D467">
        <v>5</v>
      </c>
      <c r="E467" t="str">
        <f>VLOOKUP(D467,[1]TEmplate!$I$54:$K$63,2,0)</f>
        <v>Greensborough Hockey Club</v>
      </c>
      <c r="F467" t="s">
        <v>5</v>
      </c>
      <c r="G467">
        <v>6</v>
      </c>
      <c r="H467" t="str">
        <f>VLOOKUP(G467,[1]TEmplate!$I$54:$K$63,2,0)</f>
        <v>Brunswick Hockey Club</v>
      </c>
      <c r="I467" t="str">
        <f>VLOOKUP(D467,[1]TEmplate!$I$54:$K$63,3,0)</f>
        <v>GRN</v>
      </c>
      <c r="J467" s="4">
        <f>VLOOKUP(B467,[1]TEmplate!$AC$38:$AE$57,3,0)</f>
        <v>46190</v>
      </c>
    </row>
    <row r="468" spans="1:10" x14ac:dyDescent="0.3">
      <c r="A468" s="7" t="s">
        <v>16</v>
      </c>
      <c r="B468">
        <v>9</v>
      </c>
      <c r="C468">
        <v>3</v>
      </c>
      <c r="D468">
        <v>4</v>
      </c>
      <c r="E468" t="str">
        <f>VLOOKUP(D468,[1]TEmplate!$I$54:$K$63,2,0)</f>
        <v>Bayside Powerhouse Saints Hockey Club</v>
      </c>
      <c r="F468" t="s">
        <v>5</v>
      </c>
      <c r="G468">
        <v>7</v>
      </c>
      <c r="H468" t="str">
        <f>VLOOKUP(G468,[1]TEmplate!$I$54:$K$63,2,0)</f>
        <v>Southern B</v>
      </c>
      <c r="I468" t="str">
        <f>VLOOKUP(D468,[1]TEmplate!$I$54:$K$63,3,0)</f>
        <v>APK</v>
      </c>
      <c r="J468" s="4">
        <f>VLOOKUP(B468,[1]TEmplate!$AC$38:$AE$57,3,0)</f>
        <v>46190</v>
      </c>
    </row>
    <row r="469" spans="1:10" x14ac:dyDescent="0.3">
      <c r="A469" s="7" t="s">
        <v>16</v>
      </c>
      <c r="B469">
        <v>9</v>
      </c>
      <c r="C469">
        <v>4</v>
      </c>
      <c r="D469">
        <v>2</v>
      </c>
      <c r="E469" t="str">
        <f>VLOOKUP(D469,[1]TEmplate!$I$54:$K$63,2,0)</f>
        <v>Melbourne University Hockey Club</v>
      </c>
      <c r="F469" t="s">
        <v>5</v>
      </c>
      <c r="G469">
        <v>8</v>
      </c>
      <c r="H469" t="str">
        <f>VLOOKUP(G469,[1]TEmplate!$I$54:$K$63,2,0)</f>
        <v>Southern A</v>
      </c>
      <c r="I469" t="str">
        <f>VLOOKUP(D469,[1]TEmplate!$I$54:$K$63,3,0)</f>
        <v>FHC</v>
      </c>
      <c r="J469" s="4">
        <f>VLOOKUP(B469,[1]TEmplate!$AC$38:$AE$57,3,0)</f>
        <v>46190</v>
      </c>
    </row>
    <row r="470" spans="1:10" x14ac:dyDescent="0.3">
      <c r="A470" s="7" t="s">
        <v>16</v>
      </c>
      <c r="B470">
        <v>10</v>
      </c>
      <c r="C470">
        <v>1</v>
      </c>
      <c r="D470">
        <v>2</v>
      </c>
      <c r="E470" t="str">
        <f>VLOOKUP(D470,[1]TEmplate!$I$54:$K$63,2,0)</f>
        <v>Melbourne University Hockey Club</v>
      </c>
      <c r="F470" t="s">
        <v>5</v>
      </c>
      <c r="G470">
        <v>3</v>
      </c>
      <c r="H470" t="str">
        <f>VLOOKUP(G470,[1]TEmplate!$I$54:$K$63,2,0)</f>
        <v>KBH Brumbies Hockey Club</v>
      </c>
      <c r="I470" t="str">
        <f>VLOOKUP(D470,[1]TEmplate!$I$54:$K$63,3,0)</f>
        <v>FHC</v>
      </c>
      <c r="J470" s="4">
        <f>VLOOKUP(B470,[1]TEmplate!$AC$38:$AE$57,3,0)</f>
        <v>46197</v>
      </c>
    </row>
    <row r="471" spans="1:10" x14ac:dyDescent="0.3">
      <c r="A471" s="7" t="s">
        <v>16</v>
      </c>
      <c r="B471">
        <v>10</v>
      </c>
      <c r="C471">
        <v>2</v>
      </c>
      <c r="D471">
        <v>1</v>
      </c>
      <c r="E471" t="str">
        <f>VLOOKUP(D471,[1]TEmplate!$I$54:$K$63,2,0)</f>
        <v>Camberwell Hockey Club</v>
      </c>
      <c r="F471" t="s">
        <v>5</v>
      </c>
      <c r="G471">
        <v>4</v>
      </c>
      <c r="H471" t="str">
        <f>VLOOKUP(G471,[1]TEmplate!$I$54:$K$63,2,0)</f>
        <v>Bayside Powerhouse Saints Hockey Club</v>
      </c>
      <c r="I471" t="str">
        <f>VLOOKUP(D471,[1]TEmplate!$I$54:$K$63,3,0)</f>
        <v>CAM</v>
      </c>
      <c r="J471" s="4">
        <f>VLOOKUP(B471,[1]TEmplate!$AC$38:$AE$57,3,0)</f>
        <v>46197</v>
      </c>
    </row>
    <row r="472" spans="1:10" x14ac:dyDescent="0.3">
      <c r="A472" s="7" t="s">
        <v>16</v>
      </c>
      <c r="B472">
        <v>10</v>
      </c>
      <c r="C472">
        <v>3</v>
      </c>
      <c r="D472">
        <v>7</v>
      </c>
      <c r="E472" t="str">
        <f>VLOOKUP(D472,[1]TEmplate!$I$54:$K$63,2,0)</f>
        <v>Southern B</v>
      </c>
      <c r="F472" t="s">
        <v>5</v>
      </c>
      <c r="G472">
        <v>5</v>
      </c>
      <c r="H472" t="str">
        <f>VLOOKUP(G472,[1]TEmplate!$I$54:$K$63,2,0)</f>
        <v>Greensborough Hockey Club</v>
      </c>
      <c r="I472" t="str">
        <f>VLOOKUP(D472,[1]TEmplate!$I$54:$K$63,3,0)</f>
        <v>DAN</v>
      </c>
      <c r="J472" s="4">
        <f>VLOOKUP(B472,[1]TEmplate!$AC$38:$AE$57,3,0)</f>
        <v>46197</v>
      </c>
    </row>
    <row r="473" spans="1:10" x14ac:dyDescent="0.3">
      <c r="A473" s="7" t="s">
        <v>16</v>
      </c>
      <c r="B473">
        <v>10</v>
      </c>
      <c r="C473">
        <v>4</v>
      </c>
      <c r="D473">
        <v>8</v>
      </c>
      <c r="E473" t="str">
        <f>VLOOKUP(D473,[1]TEmplate!$I$54:$K$63,2,0)</f>
        <v>Southern A</v>
      </c>
      <c r="F473" t="s">
        <v>5</v>
      </c>
      <c r="G473">
        <v>6</v>
      </c>
      <c r="H473" t="str">
        <f>VLOOKUP(G473,[1]TEmplate!$I$54:$K$63,2,0)</f>
        <v>Brunswick Hockey Club</v>
      </c>
      <c r="I473" t="str">
        <f>VLOOKUP(D473,[1]TEmplate!$I$54:$K$63,3,0)</f>
        <v>DAN</v>
      </c>
      <c r="J473" s="4">
        <f>VLOOKUP(B473,[1]TEmplate!$AC$38:$AE$57,3,0)</f>
        <v>46197</v>
      </c>
    </row>
    <row r="474" spans="1:10" x14ac:dyDescent="0.3">
      <c r="A474" s="7" t="s">
        <v>16</v>
      </c>
      <c r="B474">
        <v>11</v>
      </c>
      <c r="C474">
        <v>1</v>
      </c>
      <c r="D474">
        <v>5</v>
      </c>
      <c r="E474" t="str">
        <f>VLOOKUP(D474,[1]TEmplate!$I$54:$K$63,2,0)</f>
        <v>Greensborough Hockey Club</v>
      </c>
      <c r="F474" t="s">
        <v>5</v>
      </c>
      <c r="G474">
        <v>1</v>
      </c>
      <c r="H474" t="str">
        <f>VLOOKUP(G474,[1]TEmplate!$I$54:$K$63,2,0)</f>
        <v>Camberwell Hockey Club</v>
      </c>
      <c r="I474" t="str">
        <f>VLOOKUP(D474,[1]TEmplate!$I$54:$K$63,3,0)</f>
        <v>GRN</v>
      </c>
      <c r="J474" s="4">
        <f>VLOOKUP(B474,[1]TEmplate!$AC$38:$AE$57,3,0)</f>
        <v>46204</v>
      </c>
    </row>
    <row r="475" spans="1:10" x14ac:dyDescent="0.3">
      <c r="A475" s="7" t="s">
        <v>16</v>
      </c>
      <c r="B475">
        <v>11</v>
      </c>
      <c r="C475">
        <v>2</v>
      </c>
      <c r="D475">
        <v>4</v>
      </c>
      <c r="E475" t="str">
        <f>VLOOKUP(D475,[1]TEmplate!$I$54:$K$63,2,0)</f>
        <v>Bayside Powerhouse Saints Hockey Club</v>
      </c>
      <c r="F475" t="s">
        <v>5</v>
      </c>
      <c r="G475">
        <v>2</v>
      </c>
      <c r="H475" t="str">
        <f>VLOOKUP(G475,[1]TEmplate!$I$54:$K$63,2,0)</f>
        <v>Melbourne University Hockey Club</v>
      </c>
      <c r="I475" t="str">
        <f>VLOOKUP(D475,[1]TEmplate!$I$54:$K$63,3,0)</f>
        <v>APK</v>
      </c>
      <c r="J475" s="4">
        <f>VLOOKUP(B475,[1]TEmplate!$AC$38:$AE$57,3,0)</f>
        <v>46204</v>
      </c>
    </row>
    <row r="476" spans="1:10" x14ac:dyDescent="0.3">
      <c r="A476" s="7" t="s">
        <v>16</v>
      </c>
      <c r="B476">
        <v>11</v>
      </c>
      <c r="C476">
        <v>3</v>
      </c>
      <c r="D476">
        <v>6</v>
      </c>
      <c r="E476" t="str">
        <f>VLOOKUP(D476,[1]TEmplate!$I$54:$K$63,2,0)</f>
        <v>Brunswick Hockey Club</v>
      </c>
      <c r="F476" t="s">
        <v>5</v>
      </c>
      <c r="G476">
        <v>7</v>
      </c>
      <c r="H476" t="str">
        <f>VLOOKUP(G476,[1]TEmplate!$I$54:$K$63,2,0)</f>
        <v>Southern B</v>
      </c>
      <c r="I476" t="str">
        <f>VLOOKUP(D476,[1]TEmplate!$I$54:$K$63,3,0)</f>
        <v>BRU</v>
      </c>
      <c r="J476" s="4">
        <f>VLOOKUP(B476,[1]TEmplate!$AC$38:$AE$57,3,0)</f>
        <v>46204</v>
      </c>
    </row>
    <row r="477" spans="1:10" x14ac:dyDescent="0.3">
      <c r="A477" s="7" t="s">
        <v>16</v>
      </c>
      <c r="B477">
        <v>11</v>
      </c>
      <c r="C477">
        <v>4</v>
      </c>
      <c r="D477">
        <v>3</v>
      </c>
      <c r="E477" t="str">
        <f>VLOOKUP(D477,[1]TEmplate!$I$54:$K$63,2,0)</f>
        <v>KBH Brumbies Hockey Club</v>
      </c>
      <c r="F477" t="s">
        <v>5</v>
      </c>
      <c r="G477">
        <v>8</v>
      </c>
      <c r="H477" t="str">
        <f>VLOOKUP(G477,[1]TEmplate!$I$54:$K$63,2,0)</f>
        <v>Southern A</v>
      </c>
      <c r="I477" t="str">
        <f>VLOOKUP(D477,[1]TEmplate!$I$54:$K$63,3,0)</f>
        <v>ELG</v>
      </c>
      <c r="J477" s="4">
        <f>VLOOKUP(B477,[1]TEmplate!$AC$38:$AE$57,3,0)</f>
        <v>46204</v>
      </c>
    </row>
    <row r="478" spans="1:10" x14ac:dyDescent="0.3">
      <c r="A478" s="7" t="s">
        <v>16</v>
      </c>
      <c r="B478">
        <v>12</v>
      </c>
      <c r="C478">
        <v>1</v>
      </c>
      <c r="D478">
        <v>3</v>
      </c>
      <c r="E478" t="str">
        <f>VLOOKUP(D478,[1]TEmplate!$I$54:$K$63,2,0)</f>
        <v>KBH Brumbies Hockey Club</v>
      </c>
      <c r="F478" t="s">
        <v>5</v>
      </c>
      <c r="G478">
        <v>4</v>
      </c>
      <c r="H478" t="str">
        <f>VLOOKUP(G478,[1]TEmplate!$I$54:$K$63,2,0)</f>
        <v>Bayside Powerhouse Saints Hockey Club</v>
      </c>
      <c r="I478" t="str">
        <f>VLOOKUP(D478,[1]TEmplate!$I$54:$K$63,3,0)</f>
        <v>ELG</v>
      </c>
      <c r="J478" s="4">
        <f>VLOOKUP(B478,[1]TEmplate!$AC$38:$AE$57,3,0)</f>
        <v>46218</v>
      </c>
    </row>
    <row r="479" spans="1:10" x14ac:dyDescent="0.3">
      <c r="A479" s="7" t="s">
        <v>16</v>
      </c>
      <c r="B479">
        <v>12</v>
      </c>
      <c r="C479">
        <v>2</v>
      </c>
      <c r="D479">
        <v>2</v>
      </c>
      <c r="E479" t="str">
        <f>VLOOKUP(D479,[1]TEmplate!$I$54:$K$63,2,0)</f>
        <v>Melbourne University Hockey Club</v>
      </c>
      <c r="F479" t="s">
        <v>5</v>
      </c>
      <c r="G479">
        <v>5</v>
      </c>
      <c r="H479" t="str">
        <f>VLOOKUP(G479,[1]TEmplate!$I$54:$K$63,2,0)</f>
        <v>Greensborough Hockey Club</v>
      </c>
      <c r="I479" t="str">
        <f>VLOOKUP(D479,[1]TEmplate!$I$54:$K$63,3,0)</f>
        <v>FHC</v>
      </c>
      <c r="J479" s="4">
        <f>VLOOKUP(B479,[1]TEmplate!$AC$38:$AE$57,3,0)</f>
        <v>46218</v>
      </c>
    </row>
    <row r="480" spans="1:10" x14ac:dyDescent="0.3">
      <c r="A480" s="7" t="s">
        <v>16</v>
      </c>
      <c r="B480">
        <v>12</v>
      </c>
      <c r="C480">
        <v>3</v>
      </c>
      <c r="D480">
        <v>1</v>
      </c>
      <c r="E480" t="str">
        <f>VLOOKUP(D480,[1]TEmplate!$I$54:$K$63,2,0)</f>
        <v>Camberwell Hockey Club</v>
      </c>
      <c r="F480" t="s">
        <v>5</v>
      </c>
      <c r="G480">
        <v>6</v>
      </c>
      <c r="H480" t="str">
        <f>VLOOKUP(G480,[1]TEmplate!$I$54:$K$63,2,0)</f>
        <v>Brunswick Hockey Club</v>
      </c>
      <c r="I480" t="str">
        <f>VLOOKUP(D480,[1]TEmplate!$I$54:$K$63,3,0)</f>
        <v>CAM</v>
      </c>
      <c r="J480" s="4">
        <f>VLOOKUP(B480,[1]TEmplate!$AC$38:$AE$57,3,0)</f>
        <v>46218</v>
      </c>
    </row>
    <row r="481" spans="1:10" x14ac:dyDescent="0.3">
      <c r="A481" s="7" t="s">
        <v>16</v>
      </c>
      <c r="B481">
        <v>12</v>
      </c>
      <c r="C481">
        <v>4</v>
      </c>
      <c r="D481">
        <v>8</v>
      </c>
      <c r="E481" t="str">
        <f>VLOOKUP(D481,[1]TEmplate!$I$54:$K$63,2,0)</f>
        <v>Southern A</v>
      </c>
      <c r="F481" t="s">
        <v>5</v>
      </c>
      <c r="G481">
        <v>7</v>
      </c>
      <c r="H481" t="str">
        <f>VLOOKUP(G481,[1]TEmplate!$I$54:$K$63,2,0)</f>
        <v>Southern B</v>
      </c>
      <c r="I481" t="str">
        <f>VLOOKUP(D481,[1]TEmplate!$I$54:$K$63,3,0)</f>
        <v>DAN</v>
      </c>
      <c r="J481" s="4">
        <f>VLOOKUP(B481,[1]TEmplate!$AC$38:$AE$57,3,0)</f>
        <v>46218</v>
      </c>
    </row>
    <row r="482" spans="1:10" x14ac:dyDescent="0.3">
      <c r="A482" s="7" t="s">
        <v>16</v>
      </c>
      <c r="B482">
        <v>13</v>
      </c>
      <c r="C482">
        <v>1</v>
      </c>
      <c r="D482">
        <v>7</v>
      </c>
      <c r="E482" t="str">
        <f>VLOOKUP(D482,[1]TEmplate!$I$54:$K$63,2,0)</f>
        <v>Southern B</v>
      </c>
      <c r="F482" t="s">
        <v>5</v>
      </c>
      <c r="G482">
        <v>1</v>
      </c>
      <c r="H482" t="str">
        <f>VLOOKUP(G482,[1]TEmplate!$I$54:$K$63,2,0)</f>
        <v>Camberwell Hockey Club</v>
      </c>
      <c r="I482" t="str">
        <f>VLOOKUP(D482,[1]TEmplate!$I$54:$K$63,3,0)</f>
        <v>DAN</v>
      </c>
      <c r="J482" s="4">
        <f>VLOOKUP(B482,[1]TEmplate!$AC$38:$AE$57,3,0)</f>
        <v>46225</v>
      </c>
    </row>
    <row r="483" spans="1:10" x14ac:dyDescent="0.3">
      <c r="A483" s="7" t="s">
        <v>16</v>
      </c>
      <c r="B483">
        <v>13</v>
      </c>
      <c r="C483">
        <v>2</v>
      </c>
      <c r="D483">
        <v>6</v>
      </c>
      <c r="E483" t="str">
        <f>VLOOKUP(D483,[1]TEmplate!$I$54:$K$63,2,0)</f>
        <v>Brunswick Hockey Club</v>
      </c>
      <c r="F483" t="s">
        <v>5</v>
      </c>
      <c r="G483">
        <v>2</v>
      </c>
      <c r="H483" t="str">
        <f>VLOOKUP(G483,[1]TEmplate!$I$54:$K$63,2,0)</f>
        <v>Melbourne University Hockey Club</v>
      </c>
      <c r="I483" t="str">
        <f>VLOOKUP(D483,[1]TEmplate!$I$54:$K$63,3,0)</f>
        <v>BRU</v>
      </c>
      <c r="J483" s="4">
        <f>VLOOKUP(B483,[1]TEmplate!$AC$38:$AE$57,3,0)</f>
        <v>46225</v>
      </c>
    </row>
    <row r="484" spans="1:10" x14ac:dyDescent="0.3">
      <c r="A484" s="7" t="s">
        <v>16</v>
      </c>
      <c r="B484">
        <v>13</v>
      </c>
      <c r="C484">
        <v>3</v>
      </c>
      <c r="D484">
        <v>5</v>
      </c>
      <c r="E484" t="str">
        <f>VLOOKUP(D484,[1]TEmplate!$I$54:$K$63,2,0)</f>
        <v>Greensborough Hockey Club</v>
      </c>
      <c r="F484" t="s">
        <v>5</v>
      </c>
      <c r="G484">
        <v>3</v>
      </c>
      <c r="H484" t="str">
        <f>VLOOKUP(G484,[1]TEmplate!$I$54:$K$63,2,0)</f>
        <v>KBH Brumbies Hockey Club</v>
      </c>
      <c r="I484" t="str">
        <f>VLOOKUP(D484,[1]TEmplate!$I$54:$K$63,3,0)</f>
        <v>GRN</v>
      </c>
      <c r="J484" s="4">
        <f>VLOOKUP(B484,[1]TEmplate!$AC$38:$AE$57,3,0)</f>
        <v>46225</v>
      </c>
    </row>
    <row r="485" spans="1:10" x14ac:dyDescent="0.3">
      <c r="A485" s="7" t="s">
        <v>16</v>
      </c>
      <c r="B485">
        <v>13</v>
      </c>
      <c r="C485">
        <v>4</v>
      </c>
      <c r="D485">
        <v>8</v>
      </c>
      <c r="E485" t="str">
        <f>VLOOKUP(D485,[1]TEmplate!$I$54:$K$63,2,0)</f>
        <v>Southern A</v>
      </c>
      <c r="F485" t="s">
        <v>5</v>
      </c>
      <c r="G485">
        <v>4</v>
      </c>
      <c r="H485" t="str">
        <f>VLOOKUP(G485,[1]TEmplate!$I$54:$K$63,2,0)</f>
        <v>Bayside Powerhouse Saints Hockey Club</v>
      </c>
      <c r="I485" t="str">
        <f>VLOOKUP(D485,[1]TEmplate!$I$54:$K$63,3,0)</f>
        <v>DAN</v>
      </c>
      <c r="J485" s="4">
        <f>VLOOKUP(B485,[1]TEmplate!$AC$38:$AE$57,3,0)</f>
        <v>46225</v>
      </c>
    </row>
    <row r="486" spans="1:10" x14ac:dyDescent="0.3">
      <c r="A486" s="7" t="s">
        <v>16</v>
      </c>
      <c r="B486">
        <v>14</v>
      </c>
      <c r="C486">
        <v>1</v>
      </c>
      <c r="D486">
        <v>4</v>
      </c>
      <c r="E486" t="str">
        <f>VLOOKUP(D486,[1]TEmplate!$I$54:$K$63,2,0)</f>
        <v>Bayside Powerhouse Saints Hockey Club</v>
      </c>
      <c r="F486" t="s">
        <v>5</v>
      </c>
      <c r="G486">
        <v>5</v>
      </c>
      <c r="H486" t="str">
        <f>VLOOKUP(G486,[1]TEmplate!$I$54:$K$63,2,0)</f>
        <v>Greensborough Hockey Club</v>
      </c>
      <c r="I486" t="str">
        <f>VLOOKUP(D486,[1]TEmplate!$I$54:$K$63,3,0)</f>
        <v>APK</v>
      </c>
      <c r="J486" s="4">
        <f>VLOOKUP(B486,[1]TEmplate!$AC$38:$AE$57,3,0)</f>
        <v>46232</v>
      </c>
    </row>
    <row r="487" spans="1:10" x14ac:dyDescent="0.3">
      <c r="A487" s="7" t="s">
        <v>16</v>
      </c>
      <c r="B487">
        <v>14</v>
      </c>
      <c r="C487">
        <v>2</v>
      </c>
      <c r="D487">
        <v>3</v>
      </c>
      <c r="E487" t="str">
        <f>VLOOKUP(D487,[1]TEmplate!$I$54:$K$63,2,0)</f>
        <v>KBH Brumbies Hockey Club</v>
      </c>
      <c r="F487" t="s">
        <v>5</v>
      </c>
      <c r="G487">
        <v>6</v>
      </c>
      <c r="H487" t="str">
        <f>VLOOKUP(G487,[1]TEmplate!$I$54:$K$63,2,0)</f>
        <v>Brunswick Hockey Club</v>
      </c>
      <c r="I487" t="str">
        <f>VLOOKUP(D487,[1]TEmplate!$I$54:$K$63,3,0)</f>
        <v>ELG</v>
      </c>
      <c r="J487" s="4">
        <f>VLOOKUP(B487,[1]TEmplate!$AC$38:$AE$57,3,0)</f>
        <v>46232</v>
      </c>
    </row>
    <row r="488" spans="1:10" x14ac:dyDescent="0.3">
      <c r="A488" s="7" t="s">
        <v>16</v>
      </c>
      <c r="B488">
        <v>14</v>
      </c>
      <c r="C488">
        <v>3</v>
      </c>
      <c r="D488">
        <v>2</v>
      </c>
      <c r="E488" t="str">
        <f>VLOOKUP(D488,[1]TEmplate!$I$54:$K$63,2,0)</f>
        <v>Melbourne University Hockey Club</v>
      </c>
      <c r="F488" t="s">
        <v>5</v>
      </c>
      <c r="G488">
        <v>7</v>
      </c>
      <c r="H488" t="str">
        <f>VLOOKUP(G488,[1]TEmplate!$I$54:$K$63,2,0)</f>
        <v>Southern B</v>
      </c>
      <c r="I488" t="str">
        <f>VLOOKUP(D488,[1]TEmplate!$I$54:$K$63,3,0)</f>
        <v>FHC</v>
      </c>
      <c r="J488" s="4">
        <f>VLOOKUP(B488,[1]TEmplate!$AC$38:$AE$57,3,0)</f>
        <v>46232</v>
      </c>
    </row>
    <row r="489" spans="1:10" x14ac:dyDescent="0.3">
      <c r="A489" s="7" t="s">
        <v>16</v>
      </c>
      <c r="B489">
        <v>14</v>
      </c>
      <c r="C489">
        <v>4</v>
      </c>
      <c r="D489">
        <v>1</v>
      </c>
      <c r="E489" t="str">
        <f>VLOOKUP(D489,[1]TEmplate!$I$54:$K$63,2,0)</f>
        <v>Camberwell Hockey Club</v>
      </c>
      <c r="F489" t="s">
        <v>5</v>
      </c>
      <c r="G489">
        <v>8</v>
      </c>
      <c r="H489" t="str">
        <f>VLOOKUP(G489,[1]TEmplate!$I$54:$K$63,2,0)</f>
        <v>Southern A</v>
      </c>
      <c r="I489" t="str">
        <f>VLOOKUP(D489,[1]TEmplate!$I$54:$K$63,3,0)</f>
        <v>CAM</v>
      </c>
      <c r="J489" s="4">
        <f>VLOOKUP(B489,[1]TEmplate!$AC$38:$AE$57,3,0)</f>
        <v>46232</v>
      </c>
    </row>
    <row r="490" spans="1:10" x14ac:dyDescent="0.3">
      <c r="A490" s="7" t="s">
        <v>16</v>
      </c>
      <c r="B490">
        <v>15</v>
      </c>
      <c r="C490">
        <v>1</v>
      </c>
      <c r="D490">
        <v>2</v>
      </c>
      <c r="E490" t="str">
        <f>VLOOKUP(D490,[1]TEmplate!$I$54:$K$63,2,0)</f>
        <v>Melbourne University Hockey Club</v>
      </c>
      <c r="F490" t="s">
        <v>5</v>
      </c>
      <c r="G490">
        <v>1</v>
      </c>
      <c r="H490" t="str">
        <f>VLOOKUP(G490,[1]TEmplate!$I$54:$K$63,2,0)</f>
        <v>Camberwell Hockey Club</v>
      </c>
      <c r="I490" t="str">
        <f>VLOOKUP(D490,[1]TEmplate!$I$54:$K$63,3,0)</f>
        <v>FHC</v>
      </c>
      <c r="J490" s="4">
        <f>VLOOKUP(B490,[1]TEmplate!$AC$38:$AE$57,3,0)</f>
        <v>46239</v>
      </c>
    </row>
    <row r="491" spans="1:10" x14ac:dyDescent="0.3">
      <c r="A491" s="7" t="s">
        <v>16</v>
      </c>
      <c r="B491">
        <v>15</v>
      </c>
      <c r="C491">
        <v>2</v>
      </c>
      <c r="D491">
        <v>3</v>
      </c>
      <c r="E491" t="str">
        <f>VLOOKUP(D491,[1]TEmplate!$I$54:$K$63,2,0)</f>
        <v>KBH Brumbies Hockey Club</v>
      </c>
      <c r="F491" t="s">
        <v>5</v>
      </c>
      <c r="G491">
        <v>7</v>
      </c>
      <c r="H491" t="str">
        <f>VLOOKUP(G491,[1]TEmplate!$I$54:$K$63,2,0)</f>
        <v>Southern B</v>
      </c>
      <c r="I491" t="str">
        <f>VLOOKUP(D491,[1]TEmplate!$I$54:$K$63,3,0)</f>
        <v>ELG</v>
      </c>
      <c r="J491" s="4">
        <f>VLOOKUP(B491,[1]TEmplate!$AC$38:$AE$57,3,0)</f>
        <v>46239</v>
      </c>
    </row>
    <row r="492" spans="1:10" x14ac:dyDescent="0.3">
      <c r="A492" s="7" t="s">
        <v>16</v>
      </c>
      <c r="B492">
        <v>15</v>
      </c>
      <c r="C492">
        <v>3</v>
      </c>
      <c r="D492">
        <v>4</v>
      </c>
      <c r="E492" t="str">
        <f>VLOOKUP(D492,[1]TEmplate!$I$54:$K$63,2,0)</f>
        <v>Bayside Powerhouse Saints Hockey Club</v>
      </c>
      <c r="F492" t="s">
        <v>5</v>
      </c>
      <c r="G492">
        <v>6</v>
      </c>
      <c r="H492" t="str">
        <f>VLOOKUP(G492,[1]TEmplate!$I$54:$K$63,2,0)</f>
        <v>Brunswick Hockey Club</v>
      </c>
      <c r="I492" t="str">
        <f>VLOOKUP(D492,[1]TEmplate!$I$54:$K$63,3,0)</f>
        <v>APK</v>
      </c>
      <c r="J492" s="4">
        <f>VLOOKUP(B492,[1]TEmplate!$AC$38:$AE$57,3,0)</f>
        <v>46239</v>
      </c>
    </row>
    <row r="493" spans="1:10" x14ac:dyDescent="0.3">
      <c r="A493" s="7" t="s">
        <v>16</v>
      </c>
      <c r="B493">
        <v>15</v>
      </c>
      <c r="C493">
        <v>4</v>
      </c>
      <c r="D493">
        <v>5</v>
      </c>
      <c r="E493" t="str">
        <f>VLOOKUP(D493,[1]TEmplate!$I$54:$K$63,2,0)</f>
        <v>Greensborough Hockey Club</v>
      </c>
      <c r="F493" t="s">
        <v>5</v>
      </c>
      <c r="G493">
        <v>8</v>
      </c>
      <c r="H493" t="str">
        <f>VLOOKUP(G493,[1]TEmplate!$I$54:$K$63,2,0)</f>
        <v>Southern A</v>
      </c>
      <c r="I493" t="str">
        <f>VLOOKUP(D493,[1]TEmplate!$I$54:$K$63,3,0)</f>
        <v>GRN</v>
      </c>
      <c r="J493" s="4">
        <f>VLOOKUP(B493,[1]TEmplate!$AC$38:$AE$57,3,0)</f>
        <v>46239</v>
      </c>
    </row>
    <row r="494" spans="1:10" x14ac:dyDescent="0.3">
      <c r="A494" s="7" t="s">
        <v>16</v>
      </c>
      <c r="B494">
        <v>16</v>
      </c>
      <c r="C494">
        <v>1</v>
      </c>
      <c r="D494">
        <v>1</v>
      </c>
      <c r="E494" t="str">
        <f>VLOOKUP(D494,[1]TEmplate!$I$54:$K$63,2,0)</f>
        <v>Camberwell Hockey Club</v>
      </c>
      <c r="F494" t="s">
        <v>5</v>
      </c>
      <c r="G494">
        <v>3</v>
      </c>
      <c r="H494" t="str">
        <f>VLOOKUP(G494,[1]TEmplate!$I$54:$K$63,2,0)</f>
        <v>KBH Brumbies Hockey Club</v>
      </c>
      <c r="I494" t="str">
        <f>VLOOKUP(D494,[1]TEmplate!$I$54:$K$63,3,0)</f>
        <v>CAM</v>
      </c>
      <c r="J494" s="4">
        <f>VLOOKUP(B494,[1]TEmplate!$AC$38:$AE$57,3,0)</f>
        <v>46246</v>
      </c>
    </row>
    <row r="495" spans="1:10" x14ac:dyDescent="0.3">
      <c r="A495" s="7" t="s">
        <v>16</v>
      </c>
      <c r="B495">
        <v>16</v>
      </c>
      <c r="C495">
        <v>2</v>
      </c>
      <c r="D495">
        <v>6</v>
      </c>
      <c r="E495" t="str">
        <f>VLOOKUP(D495,[1]TEmplate!$I$54:$K$63,2,0)</f>
        <v>Brunswick Hockey Club</v>
      </c>
      <c r="F495" t="s">
        <v>5</v>
      </c>
      <c r="G495">
        <v>5</v>
      </c>
      <c r="H495" t="str">
        <f>VLOOKUP(G495,[1]TEmplate!$I$54:$K$63,2,0)</f>
        <v>Greensborough Hockey Club</v>
      </c>
      <c r="I495" t="str">
        <f>VLOOKUP(D495,[1]TEmplate!$I$54:$K$63,3,0)</f>
        <v>BRU</v>
      </c>
      <c r="J495" s="4">
        <f>VLOOKUP(B495,[1]TEmplate!$AC$38:$AE$57,3,0)</f>
        <v>46246</v>
      </c>
    </row>
    <row r="496" spans="1:10" x14ac:dyDescent="0.3">
      <c r="A496" s="7" t="s">
        <v>16</v>
      </c>
      <c r="B496">
        <v>16</v>
      </c>
      <c r="C496">
        <v>3</v>
      </c>
      <c r="D496">
        <v>7</v>
      </c>
      <c r="E496" t="str">
        <f>VLOOKUP(D496,[1]TEmplate!$I$54:$K$63,2,0)</f>
        <v>Southern B</v>
      </c>
      <c r="F496" t="s">
        <v>5</v>
      </c>
      <c r="G496">
        <v>4</v>
      </c>
      <c r="H496" t="str">
        <f>VLOOKUP(G496,[1]TEmplate!$I$54:$K$63,2,0)</f>
        <v>Bayside Powerhouse Saints Hockey Club</v>
      </c>
      <c r="I496" t="str">
        <f>VLOOKUP(D496,[1]TEmplate!$I$54:$K$63,3,0)</f>
        <v>DAN</v>
      </c>
      <c r="J496" s="4">
        <f>VLOOKUP(B496,[1]TEmplate!$AC$38:$AE$57,3,0)</f>
        <v>46246</v>
      </c>
    </row>
    <row r="497" spans="1:10" x14ac:dyDescent="0.3">
      <c r="A497" s="7" t="s">
        <v>16</v>
      </c>
      <c r="B497">
        <v>16</v>
      </c>
      <c r="C497">
        <v>4</v>
      </c>
      <c r="D497">
        <v>8</v>
      </c>
      <c r="E497" t="str">
        <f>VLOOKUP(D497,[1]TEmplate!$I$54:$K$63,2,0)</f>
        <v>Southern A</v>
      </c>
      <c r="F497" t="s">
        <v>5</v>
      </c>
      <c r="G497">
        <v>2</v>
      </c>
      <c r="H497" t="str">
        <f>VLOOKUP(G497,[1]TEmplate!$I$54:$K$63,2,0)</f>
        <v>Melbourne University Hockey Club</v>
      </c>
      <c r="I497" t="str">
        <f>VLOOKUP(D497,[1]TEmplate!$I$54:$K$63,3,0)</f>
        <v>DAN</v>
      </c>
      <c r="J497" s="4">
        <f>VLOOKUP(B497,[1]TEmplate!$AC$38:$AE$57,3,0)</f>
        <v>46246</v>
      </c>
    </row>
    <row r="498" spans="1:10" x14ac:dyDescent="0.3">
      <c r="A498" s="7" t="s">
        <v>16</v>
      </c>
      <c r="B498">
        <v>17</v>
      </c>
      <c r="C498">
        <v>1</v>
      </c>
      <c r="D498">
        <v>3</v>
      </c>
      <c r="E498" t="str">
        <f>VLOOKUP(D498,[1]TEmplate!$I$54:$K$63,2,0)</f>
        <v>KBH Brumbies Hockey Club</v>
      </c>
      <c r="F498" t="s">
        <v>5</v>
      </c>
      <c r="G498">
        <v>2</v>
      </c>
      <c r="H498" t="str">
        <f>VLOOKUP(G498,[1]TEmplate!$I$54:$K$63,2,0)</f>
        <v>Melbourne University Hockey Club</v>
      </c>
      <c r="I498" t="str">
        <f>VLOOKUP(D498,[1]TEmplate!$I$54:$K$63,3,0)</f>
        <v>ELG</v>
      </c>
      <c r="J498" s="4">
        <f>VLOOKUP(B498,[1]TEmplate!$AC$38:$AE$57,3,0)</f>
        <v>46253</v>
      </c>
    </row>
    <row r="499" spans="1:10" x14ac:dyDescent="0.3">
      <c r="A499" s="7" t="s">
        <v>16</v>
      </c>
      <c r="B499">
        <v>17</v>
      </c>
      <c r="C499">
        <v>2</v>
      </c>
      <c r="D499">
        <v>4</v>
      </c>
      <c r="E499" t="str">
        <f>VLOOKUP(D499,[1]TEmplate!$I$54:$K$63,2,0)</f>
        <v>Bayside Powerhouse Saints Hockey Club</v>
      </c>
      <c r="F499" t="s">
        <v>5</v>
      </c>
      <c r="G499">
        <v>1</v>
      </c>
      <c r="H499" t="str">
        <f>VLOOKUP(G499,[1]TEmplate!$I$54:$K$63,2,0)</f>
        <v>Camberwell Hockey Club</v>
      </c>
      <c r="I499" t="str">
        <f>VLOOKUP(D499,[1]TEmplate!$I$54:$K$63,3,0)</f>
        <v>APK</v>
      </c>
      <c r="J499" s="4">
        <f>VLOOKUP(B499,[1]TEmplate!$AC$38:$AE$57,3,0)</f>
        <v>46253</v>
      </c>
    </row>
    <row r="500" spans="1:10" x14ac:dyDescent="0.3">
      <c r="A500" s="7" t="s">
        <v>16</v>
      </c>
      <c r="B500">
        <v>17</v>
      </c>
      <c r="C500">
        <v>3</v>
      </c>
      <c r="D500">
        <v>5</v>
      </c>
      <c r="E500" t="str">
        <f>VLOOKUP(D500,[1]TEmplate!$I$54:$K$63,2,0)</f>
        <v>Greensborough Hockey Club</v>
      </c>
      <c r="F500" t="s">
        <v>5</v>
      </c>
      <c r="G500">
        <v>7</v>
      </c>
      <c r="H500" t="str">
        <f>VLOOKUP(G500,[1]TEmplate!$I$54:$K$63,2,0)</f>
        <v>Southern B</v>
      </c>
      <c r="I500" t="str">
        <f>VLOOKUP(D500,[1]TEmplate!$I$54:$K$63,3,0)</f>
        <v>GRN</v>
      </c>
      <c r="J500" s="4">
        <f>VLOOKUP(B500,[1]TEmplate!$AC$38:$AE$57,3,0)</f>
        <v>46253</v>
      </c>
    </row>
    <row r="501" spans="1:10" x14ac:dyDescent="0.3">
      <c r="A501" s="7" t="s">
        <v>16</v>
      </c>
      <c r="B501">
        <v>17</v>
      </c>
      <c r="C501">
        <v>4</v>
      </c>
      <c r="D501">
        <v>6</v>
      </c>
      <c r="E501" t="str">
        <f>VLOOKUP(D501,[1]TEmplate!$I$54:$K$63,2,0)</f>
        <v>Brunswick Hockey Club</v>
      </c>
      <c r="F501" t="s">
        <v>5</v>
      </c>
      <c r="G501">
        <v>8</v>
      </c>
      <c r="H501" t="str">
        <f>VLOOKUP(G501,[1]TEmplate!$I$54:$K$63,2,0)</f>
        <v>Southern A</v>
      </c>
      <c r="I501" t="str">
        <f>VLOOKUP(D501,[1]TEmplate!$I$54:$K$63,3,0)</f>
        <v>BRU</v>
      </c>
      <c r="J501" s="4">
        <f>VLOOKUP(B501,[1]TEmplate!$AC$38:$AE$57,3,0)</f>
        <v>46253</v>
      </c>
    </row>
    <row r="502" spans="1:10" x14ac:dyDescent="0.3">
      <c r="A502" s="7" t="s">
        <v>16</v>
      </c>
      <c r="B502">
        <v>18</v>
      </c>
      <c r="C502">
        <v>1</v>
      </c>
      <c r="D502">
        <v>1</v>
      </c>
      <c r="E502" t="str">
        <f>VLOOKUP(D502,[1]TEmplate!$I$54:$K$63,2,0)</f>
        <v>Camberwell Hockey Club</v>
      </c>
      <c r="F502" t="s">
        <v>5</v>
      </c>
      <c r="G502">
        <v>5</v>
      </c>
      <c r="H502" t="str">
        <f>VLOOKUP(G502,[1]TEmplate!$I$54:$K$63,2,0)</f>
        <v>Greensborough Hockey Club</v>
      </c>
      <c r="I502" t="str">
        <f>VLOOKUP(D502,[1]TEmplate!$I$54:$K$63,3,0)</f>
        <v>CAM</v>
      </c>
      <c r="J502" s="4">
        <f>VLOOKUP(B502,[1]TEmplate!$AC$38:$AE$57,3,0)</f>
        <v>46260</v>
      </c>
    </row>
    <row r="503" spans="1:10" x14ac:dyDescent="0.3">
      <c r="A503" s="7" t="s">
        <v>16</v>
      </c>
      <c r="B503">
        <v>18</v>
      </c>
      <c r="C503">
        <v>2</v>
      </c>
      <c r="D503">
        <v>2</v>
      </c>
      <c r="E503" t="str">
        <f>VLOOKUP(D503,[1]TEmplate!$I$54:$K$63,2,0)</f>
        <v>Melbourne University Hockey Club</v>
      </c>
      <c r="F503" t="s">
        <v>5</v>
      </c>
      <c r="G503">
        <v>4</v>
      </c>
      <c r="H503" t="str">
        <f>VLOOKUP(G503,[1]TEmplate!$I$54:$K$63,2,0)</f>
        <v>Bayside Powerhouse Saints Hockey Club</v>
      </c>
      <c r="I503" t="str">
        <f>VLOOKUP(D503,[1]TEmplate!$I$54:$K$63,3,0)</f>
        <v>FHC</v>
      </c>
      <c r="J503" s="4">
        <f>VLOOKUP(B503,[1]TEmplate!$AC$38:$AE$57,3,0)</f>
        <v>46260</v>
      </c>
    </row>
    <row r="504" spans="1:10" x14ac:dyDescent="0.3">
      <c r="A504" s="7" t="s">
        <v>16</v>
      </c>
      <c r="B504">
        <v>18</v>
      </c>
      <c r="C504">
        <v>3</v>
      </c>
      <c r="D504">
        <v>7</v>
      </c>
      <c r="E504" t="str">
        <f>VLOOKUP(D504,[1]TEmplate!$I$54:$K$63,2,0)</f>
        <v>Southern B</v>
      </c>
      <c r="F504" t="s">
        <v>5</v>
      </c>
      <c r="G504">
        <v>6</v>
      </c>
      <c r="H504" t="str">
        <f>VLOOKUP(G504,[1]TEmplate!$I$54:$K$63,2,0)</f>
        <v>Brunswick Hockey Club</v>
      </c>
      <c r="I504" t="str">
        <f>VLOOKUP(D504,[1]TEmplate!$I$54:$K$63,3,0)</f>
        <v>DAN</v>
      </c>
      <c r="J504" s="4">
        <f>VLOOKUP(B504,[1]TEmplate!$AC$38:$AE$57,3,0)</f>
        <v>46260</v>
      </c>
    </row>
    <row r="505" spans="1:10" x14ac:dyDescent="0.3">
      <c r="A505" s="7" t="s">
        <v>16</v>
      </c>
      <c r="B505">
        <v>18</v>
      </c>
      <c r="C505">
        <v>4</v>
      </c>
      <c r="D505">
        <v>8</v>
      </c>
      <c r="E505" t="str">
        <f>VLOOKUP(D505,[1]TEmplate!$I$54:$K$63,2,0)</f>
        <v>Southern A</v>
      </c>
      <c r="F505" t="s">
        <v>5</v>
      </c>
      <c r="G505">
        <v>3</v>
      </c>
      <c r="H505" t="str">
        <f>VLOOKUP(G505,[1]TEmplate!$I$54:$K$63,2,0)</f>
        <v>KBH Brumbies Hockey Club</v>
      </c>
      <c r="I505" t="str">
        <f>VLOOKUP(D505,[1]TEmplate!$I$54:$K$63,3,0)</f>
        <v>DAN</v>
      </c>
      <c r="J505" s="4">
        <f>VLOOKUP(B505,[1]TEmplate!$AC$38:$AE$57,3,0)</f>
        <v>46260</v>
      </c>
    </row>
    <row r="506" spans="1:10" x14ac:dyDescent="0.3">
      <c r="A506" s="7" t="s">
        <v>17</v>
      </c>
      <c r="B506">
        <v>1</v>
      </c>
      <c r="C506">
        <v>1</v>
      </c>
      <c r="D506">
        <v>2</v>
      </c>
      <c r="E506" t="str">
        <f>VLOOKUP(D506,[1]TEmplate!$M$54:$O$65,2,0)</f>
        <v>Camberwell Blue</v>
      </c>
      <c r="F506" t="s">
        <v>5</v>
      </c>
      <c r="G506">
        <v>1</v>
      </c>
      <c r="H506" t="str">
        <f>VLOOKUP(G506,[1]TEmplate!$M$54:$O$65,2,0)</f>
        <v>Hawthorn Hockey Club</v>
      </c>
      <c r="J506" s="4">
        <f>VLOOKUP(B506,[1]TEmplate!$AC$38:$AE$57,3,0)</f>
        <v>46127</v>
      </c>
    </row>
    <row r="507" spans="1:10" x14ac:dyDescent="0.3">
      <c r="A507" s="7" t="s">
        <v>17</v>
      </c>
      <c r="B507">
        <v>1</v>
      </c>
      <c r="C507">
        <v>2</v>
      </c>
      <c r="D507">
        <v>3</v>
      </c>
      <c r="E507" t="str">
        <f>VLOOKUP(D507,[1]TEmplate!$M$54:$O$65,2,0)</f>
        <v>Yarra Hockey Club</v>
      </c>
      <c r="F507" t="s">
        <v>5</v>
      </c>
      <c r="G507">
        <v>11</v>
      </c>
      <c r="H507" t="str">
        <f>VLOOKUP(G507,[1]TEmplate!$M$54:$O$65,2,0)</f>
        <v>Doncaster Hockey Club</v>
      </c>
      <c r="I507" t="str">
        <f>VLOOKUP(D507,[1]TEmplate!$M$54:$O$65,3,0)</f>
        <v>YAR</v>
      </c>
      <c r="J507" s="4">
        <f>VLOOKUP(B507,[1]TEmplate!$AC$38:$AE$57,3,0)</f>
        <v>46127</v>
      </c>
    </row>
    <row r="508" spans="1:10" x14ac:dyDescent="0.3">
      <c r="A508" s="7" t="s">
        <v>17</v>
      </c>
      <c r="B508">
        <v>1</v>
      </c>
      <c r="C508">
        <v>3</v>
      </c>
      <c r="D508">
        <v>4</v>
      </c>
      <c r="E508" t="str">
        <f>VLOOKUP(D508,[1]TEmplate!$M$54:$O$65,2,0)</f>
        <v>Camberwell Tangerine</v>
      </c>
      <c r="F508" t="s">
        <v>5</v>
      </c>
      <c r="G508">
        <v>10</v>
      </c>
      <c r="H508" t="str">
        <f>VLOOKUP(G508,[1]TEmplate!$M$54:$O$65,2,0)</f>
        <v>MCC Hockey Section</v>
      </c>
      <c r="I508" t="str">
        <f>VLOOKUP(D508,[1]TEmplate!$M$54:$O$65,3,0)</f>
        <v>CAM</v>
      </c>
      <c r="J508" s="4">
        <f>VLOOKUP(B508,[1]TEmplate!$AC$38:$AE$57,3,0)</f>
        <v>46127</v>
      </c>
    </row>
    <row r="509" spans="1:10" x14ac:dyDescent="0.3">
      <c r="A509" s="7" t="s">
        <v>17</v>
      </c>
      <c r="B509">
        <v>1</v>
      </c>
      <c r="C509">
        <v>4</v>
      </c>
      <c r="D509">
        <v>5</v>
      </c>
      <c r="E509" t="str">
        <f>VLOOKUP(D509,[1]TEmplate!$M$54:$O$65,2,0)</f>
        <v>Hockey Geelong</v>
      </c>
      <c r="F509" t="s">
        <v>5</v>
      </c>
      <c r="G509">
        <v>9</v>
      </c>
      <c r="H509" t="str">
        <f>VLOOKUP(G509,[1]TEmplate!$M$54:$O$65,2,0)</f>
        <v>Southern C</v>
      </c>
      <c r="I509" t="str">
        <f>VLOOKUP(D509,[1]TEmplate!$M$54:$O$65,3,0)</f>
        <v>GEL</v>
      </c>
      <c r="J509" s="4">
        <f>VLOOKUP(B509,[1]TEmplate!$AC$38:$AE$57,3,0)</f>
        <v>46127</v>
      </c>
    </row>
    <row r="510" spans="1:10" x14ac:dyDescent="0.3">
      <c r="A510" s="7" t="s">
        <v>17</v>
      </c>
      <c r="B510">
        <v>1</v>
      </c>
      <c r="C510">
        <v>5</v>
      </c>
      <c r="D510">
        <v>6</v>
      </c>
      <c r="E510" t="str">
        <f>VLOOKUP(D510,[1]TEmplate!$M$54:$O$65,2,0)</f>
        <v>Knox Hockey Club</v>
      </c>
      <c r="F510" t="s">
        <v>5</v>
      </c>
      <c r="G510">
        <v>8</v>
      </c>
      <c r="H510" t="str">
        <f>VLOOKUP(G510,[1]TEmplate!$M$54:$O$65,2,0)</f>
        <v>MHSOB</v>
      </c>
      <c r="I510" t="str">
        <f>VLOOKUP(D510,[1]TEmplate!$M$54:$O$65,3,0)</f>
        <v>KNX</v>
      </c>
      <c r="J510" s="4">
        <f>VLOOKUP(B510,[1]TEmplate!$AC$38:$AE$57,3,0)</f>
        <v>46127</v>
      </c>
    </row>
    <row r="511" spans="1:10" x14ac:dyDescent="0.3">
      <c r="A511" s="7" t="s">
        <v>17</v>
      </c>
      <c r="B511">
        <v>1</v>
      </c>
      <c r="C511">
        <v>6</v>
      </c>
      <c r="D511">
        <v>7</v>
      </c>
      <c r="E511" t="str">
        <f>VLOOKUP(D511,[1]TEmplate!$M$54:$O$65,2,0)</f>
        <v>Footscray Blue</v>
      </c>
      <c r="F511" t="s">
        <v>5</v>
      </c>
      <c r="G511">
        <v>12</v>
      </c>
      <c r="H511" t="str">
        <f>VLOOKUP(G511,[1]TEmplate!$M$54:$O$65,2,0)</f>
        <v>KBH Brumbies Hockey Club</v>
      </c>
      <c r="I511" t="str">
        <f>VLOOKUP(D511,[1]TEmplate!$M$54:$O$65,3,0)</f>
        <v>FHC</v>
      </c>
      <c r="J511" s="4">
        <f>VLOOKUP(B511,[1]TEmplate!$AC$38:$AE$57,3,0)</f>
        <v>46127</v>
      </c>
    </row>
    <row r="512" spans="1:10" x14ac:dyDescent="0.3">
      <c r="A512" s="7" t="s">
        <v>17</v>
      </c>
      <c r="B512">
        <v>2</v>
      </c>
      <c r="C512">
        <v>1</v>
      </c>
      <c r="D512">
        <v>8</v>
      </c>
      <c r="E512" t="str">
        <f>VLOOKUP(D512,[1]TEmplate!$M$54:$O$65,2,0)</f>
        <v>MHSOB</v>
      </c>
      <c r="F512" t="s">
        <v>5</v>
      </c>
      <c r="G512">
        <v>7</v>
      </c>
      <c r="H512" t="str">
        <f>VLOOKUP(G512,[1]TEmplate!$M$54:$O$65,2,0)</f>
        <v>Footscray Blue</v>
      </c>
      <c r="I512" t="str">
        <f>VLOOKUP(D512,[1]TEmplate!$M$54:$O$65,3,0)</f>
        <v>APK</v>
      </c>
      <c r="J512" s="4">
        <f>VLOOKUP(B512,[1]TEmplate!$AC$38:$AE$57,3,0)</f>
        <v>46134</v>
      </c>
    </row>
    <row r="513" spans="1:10" x14ac:dyDescent="0.3">
      <c r="A513" s="7" t="s">
        <v>17</v>
      </c>
      <c r="B513">
        <v>2</v>
      </c>
      <c r="C513">
        <v>2</v>
      </c>
      <c r="D513">
        <v>9</v>
      </c>
      <c r="E513" t="str">
        <f>VLOOKUP(D513,[1]TEmplate!$M$54:$O$65,2,0)</f>
        <v>Southern C</v>
      </c>
      <c r="F513" t="s">
        <v>5</v>
      </c>
      <c r="G513">
        <v>6</v>
      </c>
      <c r="H513" t="str">
        <f>VLOOKUP(G513,[1]TEmplate!$M$54:$O$65,2,0)</f>
        <v>Knox Hockey Club</v>
      </c>
      <c r="I513" t="str">
        <f>VLOOKUP(D513,[1]TEmplate!$M$54:$O$65,3,0)</f>
        <v>DAN</v>
      </c>
      <c r="J513" s="4">
        <f>VLOOKUP(B513,[1]TEmplate!$AC$38:$AE$57,3,0)</f>
        <v>46134</v>
      </c>
    </row>
    <row r="514" spans="1:10" x14ac:dyDescent="0.3">
      <c r="A514" s="7" t="s">
        <v>17</v>
      </c>
      <c r="B514">
        <v>2</v>
      </c>
      <c r="C514">
        <v>3</v>
      </c>
      <c r="D514">
        <v>10</v>
      </c>
      <c r="E514" t="str">
        <f>VLOOKUP(D514,[1]TEmplate!$M$54:$O$65,2,0)</f>
        <v>MCC Hockey Section</v>
      </c>
      <c r="F514" t="s">
        <v>5</v>
      </c>
      <c r="G514">
        <v>5</v>
      </c>
      <c r="H514" t="str">
        <f>VLOOKUP(G514,[1]TEmplate!$M$54:$O$65,2,0)</f>
        <v>Hockey Geelong</v>
      </c>
      <c r="I514" t="str">
        <f>VLOOKUP(D514,[1]TEmplate!$M$54:$O$65,3,0)</f>
        <v>ELW</v>
      </c>
      <c r="J514" s="4">
        <f>VLOOKUP(B514,[1]TEmplate!$AC$38:$AE$57,3,0)</f>
        <v>46134</v>
      </c>
    </row>
    <row r="515" spans="1:10" x14ac:dyDescent="0.3">
      <c r="A515" s="7" t="s">
        <v>17</v>
      </c>
      <c r="B515">
        <v>2</v>
      </c>
      <c r="C515">
        <v>4</v>
      </c>
      <c r="D515">
        <v>11</v>
      </c>
      <c r="E515" t="str">
        <f>VLOOKUP(D515,[1]TEmplate!$M$54:$O$65,2,0)</f>
        <v>Doncaster Hockey Club</v>
      </c>
      <c r="F515" t="s">
        <v>5</v>
      </c>
      <c r="G515">
        <v>4</v>
      </c>
      <c r="H515" t="str">
        <f>VLOOKUP(G515,[1]TEmplate!$M$54:$O$65,2,0)</f>
        <v>Camberwell Tangerine</v>
      </c>
      <c r="I515" t="str">
        <f>VLOOKUP(D515,[1]TEmplate!$M$54:$O$65,3,0)</f>
        <v>DON</v>
      </c>
      <c r="J515" s="4">
        <f>VLOOKUP(B515,[1]TEmplate!$AC$38:$AE$57,3,0)</f>
        <v>46134</v>
      </c>
    </row>
    <row r="516" spans="1:10" x14ac:dyDescent="0.3">
      <c r="A516" s="7" t="s">
        <v>17</v>
      </c>
      <c r="B516">
        <v>2</v>
      </c>
      <c r="C516">
        <v>5</v>
      </c>
      <c r="D516">
        <v>12</v>
      </c>
      <c r="E516" t="str">
        <f>VLOOKUP(D516,[1]TEmplate!$M$54:$O$65,2,0)</f>
        <v>KBH Brumbies Hockey Club</v>
      </c>
      <c r="F516" t="s">
        <v>5</v>
      </c>
      <c r="G516">
        <v>2</v>
      </c>
      <c r="H516" t="str">
        <f>VLOOKUP(G516,[1]TEmplate!$M$54:$O$65,2,0)</f>
        <v>Camberwell Blue</v>
      </c>
      <c r="I516" t="str">
        <f>VLOOKUP(D516,[1]TEmplate!$M$54:$O$65,3,0)</f>
        <v>ELG</v>
      </c>
      <c r="J516" s="4">
        <f>VLOOKUP(B516,[1]TEmplate!$AC$38:$AE$57,3,0)</f>
        <v>46134</v>
      </c>
    </row>
    <row r="517" spans="1:10" x14ac:dyDescent="0.3">
      <c r="A517" s="7" t="s">
        <v>17</v>
      </c>
      <c r="B517">
        <v>2</v>
      </c>
      <c r="C517">
        <v>6</v>
      </c>
      <c r="D517">
        <v>1</v>
      </c>
      <c r="E517" t="str">
        <f>VLOOKUP(D517,[1]TEmplate!$M$54:$O$65,2,0)</f>
        <v>Hawthorn Hockey Club</v>
      </c>
      <c r="F517" t="s">
        <v>5</v>
      </c>
      <c r="G517">
        <v>3</v>
      </c>
      <c r="H517" t="str">
        <f>VLOOKUP(G517,[1]TEmplate!$M$54:$O$65,2,0)</f>
        <v>Yarra Hockey Club</v>
      </c>
      <c r="I517" t="str">
        <f>VLOOKUP(D517,[1]TEmplate!$M$54:$O$65,3,0)</f>
        <v>HAW</v>
      </c>
      <c r="J517" s="4">
        <f>VLOOKUP(B517,[1]TEmplate!$AC$38:$AE$57,3,0)</f>
        <v>46134</v>
      </c>
    </row>
    <row r="518" spans="1:10" x14ac:dyDescent="0.3">
      <c r="A518" s="7" t="s">
        <v>17</v>
      </c>
      <c r="B518">
        <v>3</v>
      </c>
      <c r="C518">
        <v>1</v>
      </c>
      <c r="D518">
        <v>3</v>
      </c>
      <c r="E518" t="str">
        <f>VLOOKUP(D518,[1]TEmplate!$M$54:$O$65,2,0)</f>
        <v>Yarra Hockey Club</v>
      </c>
      <c r="F518" t="s">
        <v>5</v>
      </c>
      <c r="G518">
        <v>2</v>
      </c>
      <c r="H518" t="str">
        <f>VLOOKUP(G518,[1]TEmplate!$M$54:$O$65,2,0)</f>
        <v>Camberwell Blue</v>
      </c>
      <c r="I518" t="str">
        <f>VLOOKUP(D518,[1]TEmplate!$M$54:$O$65,3,0)</f>
        <v>YAR</v>
      </c>
      <c r="J518" s="4">
        <f>VLOOKUP(B518,[1]TEmplate!$AC$38:$AE$57,3,0)</f>
        <v>46141</v>
      </c>
    </row>
    <row r="519" spans="1:10" x14ac:dyDescent="0.3">
      <c r="A519" s="7" t="s">
        <v>17</v>
      </c>
      <c r="B519">
        <v>3</v>
      </c>
      <c r="C519">
        <v>2</v>
      </c>
      <c r="D519">
        <v>4</v>
      </c>
      <c r="E519" t="str">
        <f>VLOOKUP(D519,[1]TEmplate!$M$54:$O$65,2,0)</f>
        <v>Camberwell Tangerine</v>
      </c>
      <c r="F519" t="s">
        <v>5</v>
      </c>
      <c r="G519">
        <v>1</v>
      </c>
      <c r="H519" t="str">
        <f>VLOOKUP(G519,[1]TEmplate!$M$54:$O$65,2,0)</f>
        <v>Hawthorn Hockey Club</v>
      </c>
      <c r="I519" t="str">
        <f>VLOOKUP(D519,[1]TEmplate!$M$54:$O$65,3,0)</f>
        <v>CAM</v>
      </c>
      <c r="J519" s="4">
        <f>VLOOKUP(B519,[1]TEmplate!$AC$38:$AE$57,3,0)</f>
        <v>46141</v>
      </c>
    </row>
    <row r="520" spans="1:10" x14ac:dyDescent="0.3">
      <c r="A520" s="7" t="s">
        <v>17</v>
      </c>
      <c r="B520">
        <v>3</v>
      </c>
      <c r="C520">
        <v>3</v>
      </c>
      <c r="D520">
        <v>5</v>
      </c>
      <c r="E520" t="str">
        <f>VLOOKUP(D520,[1]TEmplate!$M$54:$O$65,2,0)</f>
        <v>Hockey Geelong</v>
      </c>
      <c r="F520" t="s">
        <v>5</v>
      </c>
      <c r="G520">
        <v>11</v>
      </c>
      <c r="H520" t="str">
        <f>VLOOKUP(G520,[1]TEmplate!$M$54:$O$65,2,0)</f>
        <v>Doncaster Hockey Club</v>
      </c>
      <c r="I520" t="str">
        <f>VLOOKUP(D520,[1]TEmplate!$M$54:$O$65,3,0)</f>
        <v>GEL</v>
      </c>
      <c r="J520" s="4">
        <f>VLOOKUP(B520,[1]TEmplate!$AC$38:$AE$57,3,0)</f>
        <v>46141</v>
      </c>
    </row>
    <row r="521" spans="1:10" x14ac:dyDescent="0.3">
      <c r="A521" s="7" t="s">
        <v>17</v>
      </c>
      <c r="B521">
        <v>3</v>
      </c>
      <c r="C521">
        <v>4</v>
      </c>
      <c r="D521">
        <v>6</v>
      </c>
      <c r="E521" t="str">
        <f>VLOOKUP(D521,[1]TEmplate!$M$54:$O$65,2,0)</f>
        <v>Knox Hockey Club</v>
      </c>
      <c r="F521" t="s">
        <v>5</v>
      </c>
      <c r="G521">
        <v>10</v>
      </c>
      <c r="H521" t="str">
        <f>VLOOKUP(G521,[1]TEmplate!$M$54:$O$65,2,0)</f>
        <v>MCC Hockey Section</v>
      </c>
      <c r="I521" t="str">
        <f>VLOOKUP(D521,[1]TEmplate!$M$54:$O$65,3,0)</f>
        <v>KNX</v>
      </c>
      <c r="J521" s="4">
        <f>VLOOKUP(B521,[1]TEmplate!$AC$38:$AE$57,3,0)</f>
        <v>46141</v>
      </c>
    </row>
    <row r="522" spans="1:10" x14ac:dyDescent="0.3">
      <c r="A522" s="7" t="s">
        <v>17</v>
      </c>
      <c r="B522">
        <v>3</v>
      </c>
      <c r="C522">
        <v>5</v>
      </c>
      <c r="D522">
        <v>7</v>
      </c>
      <c r="E522" t="str">
        <f>VLOOKUP(D522,[1]TEmplate!$M$54:$O$65,2,0)</f>
        <v>Footscray Blue</v>
      </c>
      <c r="F522" t="s">
        <v>5</v>
      </c>
      <c r="G522">
        <v>9</v>
      </c>
      <c r="H522" t="str">
        <f>VLOOKUP(G522,[1]TEmplate!$M$54:$O$65,2,0)</f>
        <v>Southern C</v>
      </c>
      <c r="I522" t="str">
        <f>VLOOKUP(D522,[1]TEmplate!$M$54:$O$65,3,0)</f>
        <v>FHC</v>
      </c>
      <c r="J522" s="4">
        <f>VLOOKUP(B522,[1]TEmplate!$AC$38:$AE$57,3,0)</f>
        <v>46141</v>
      </c>
    </row>
    <row r="523" spans="1:10" x14ac:dyDescent="0.3">
      <c r="A523" s="7" t="s">
        <v>17</v>
      </c>
      <c r="B523">
        <v>3</v>
      </c>
      <c r="C523">
        <v>6</v>
      </c>
      <c r="D523">
        <v>8</v>
      </c>
      <c r="E523" t="str">
        <f>VLOOKUP(D523,[1]TEmplate!$M$54:$O$65,2,0)</f>
        <v>MHSOB</v>
      </c>
      <c r="F523" t="s">
        <v>5</v>
      </c>
      <c r="G523">
        <v>12</v>
      </c>
      <c r="H523" t="str">
        <f>VLOOKUP(G523,[1]TEmplate!$M$54:$O$65,2,0)</f>
        <v>KBH Brumbies Hockey Club</v>
      </c>
      <c r="I523" t="str">
        <f>VLOOKUP(D523,[1]TEmplate!$M$54:$O$65,3,0)</f>
        <v>APK</v>
      </c>
      <c r="J523" s="4">
        <f>VLOOKUP(B523,[1]TEmplate!$AC$38:$AE$57,3,0)</f>
        <v>46141</v>
      </c>
    </row>
    <row r="524" spans="1:10" x14ac:dyDescent="0.3">
      <c r="A524" s="7" t="s">
        <v>17</v>
      </c>
      <c r="B524">
        <v>4</v>
      </c>
      <c r="C524">
        <v>1</v>
      </c>
      <c r="D524">
        <v>9</v>
      </c>
      <c r="E524" t="str">
        <f>VLOOKUP(D524,[1]TEmplate!$M$54:$O$65,2,0)</f>
        <v>Southern C</v>
      </c>
      <c r="F524" t="s">
        <v>5</v>
      </c>
      <c r="G524">
        <v>8</v>
      </c>
      <c r="H524" t="str">
        <f>VLOOKUP(G524,[1]TEmplate!$M$54:$O$65,2,0)</f>
        <v>MHSOB</v>
      </c>
      <c r="I524" t="str">
        <f>VLOOKUP(D524,[1]TEmplate!$M$54:$O$65,3,0)</f>
        <v>DAN</v>
      </c>
      <c r="J524" s="4">
        <f>VLOOKUP(B524,[1]TEmplate!$AC$38:$AE$57,3,0)</f>
        <v>46148</v>
      </c>
    </row>
    <row r="525" spans="1:10" x14ac:dyDescent="0.3">
      <c r="A525" s="7" t="s">
        <v>17</v>
      </c>
      <c r="B525">
        <v>4</v>
      </c>
      <c r="C525">
        <v>2</v>
      </c>
      <c r="D525">
        <v>10</v>
      </c>
      <c r="E525" t="str">
        <f>VLOOKUP(D525,[1]TEmplate!$M$54:$O$65,2,0)</f>
        <v>MCC Hockey Section</v>
      </c>
      <c r="F525" t="s">
        <v>5</v>
      </c>
      <c r="G525">
        <v>7</v>
      </c>
      <c r="H525" t="str">
        <f>VLOOKUP(G525,[1]TEmplate!$M$54:$O$65,2,0)</f>
        <v>Footscray Blue</v>
      </c>
      <c r="I525" t="str">
        <f>VLOOKUP(D525,[1]TEmplate!$M$54:$O$65,3,0)</f>
        <v>ELW</v>
      </c>
      <c r="J525" s="4">
        <f>VLOOKUP(B525,[1]TEmplate!$AC$38:$AE$57,3,0)</f>
        <v>46148</v>
      </c>
    </row>
    <row r="526" spans="1:10" x14ac:dyDescent="0.3">
      <c r="A526" s="7" t="s">
        <v>17</v>
      </c>
      <c r="B526">
        <v>4</v>
      </c>
      <c r="C526">
        <v>3</v>
      </c>
      <c r="D526">
        <v>11</v>
      </c>
      <c r="E526" t="str">
        <f>VLOOKUP(D526,[1]TEmplate!$M$54:$O$65,2,0)</f>
        <v>Doncaster Hockey Club</v>
      </c>
      <c r="F526" t="s">
        <v>5</v>
      </c>
      <c r="G526">
        <v>6</v>
      </c>
      <c r="H526" t="str">
        <f>VLOOKUP(G526,[1]TEmplate!$M$54:$O$65,2,0)</f>
        <v>Knox Hockey Club</v>
      </c>
      <c r="I526" t="str">
        <f>VLOOKUP(D526,[1]TEmplate!$M$54:$O$65,3,0)</f>
        <v>DON</v>
      </c>
      <c r="J526" s="4">
        <f>VLOOKUP(B526,[1]TEmplate!$AC$38:$AE$57,3,0)</f>
        <v>46148</v>
      </c>
    </row>
    <row r="527" spans="1:10" x14ac:dyDescent="0.3">
      <c r="A527" s="7" t="s">
        <v>17</v>
      </c>
      <c r="B527">
        <v>4</v>
      </c>
      <c r="C527">
        <v>4</v>
      </c>
      <c r="D527">
        <v>12</v>
      </c>
      <c r="E527" t="str">
        <f>VLOOKUP(D527,[1]TEmplate!$M$54:$O$65,2,0)</f>
        <v>KBH Brumbies Hockey Club</v>
      </c>
      <c r="F527" t="s">
        <v>5</v>
      </c>
      <c r="G527">
        <v>3</v>
      </c>
      <c r="H527" t="str">
        <f>VLOOKUP(G527,[1]TEmplate!$M$54:$O$65,2,0)</f>
        <v>Yarra Hockey Club</v>
      </c>
      <c r="I527" t="str">
        <f>VLOOKUP(D527,[1]TEmplate!$M$54:$O$65,3,0)</f>
        <v>ELG</v>
      </c>
      <c r="J527" s="4">
        <f>VLOOKUP(B527,[1]TEmplate!$AC$38:$AE$57,3,0)</f>
        <v>46148</v>
      </c>
    </row>
    <row r="528" spans="1:10" x14ac:dyDescent="0.3">
      <c r="A528" s="7" t="s">
        <v>17</v>
      </c>
      <c r="B528">
        <v>4</v>
      </c>
      <c r="C528">
        <v>5</v>
      </c>
      <c r="D528">
        <v>1</v>
      </c>
      <c r="E528" t="str">
        <f>VLOOKUP(D528,[1]TEmplate!$M$54:$O$65,2,0)</f>
        <v>Hawthorn Hockey Club</v>
      </c>
      <c r="F528" t="s">
        <v>5</v>
      </c>
      <c r="G528">
        <v>5</v>
      </c>
      <c r="H528" t="str">
        <f>VLOOKUP(G528,[1]TEmplate!$M$54:$O$65,2,0)</f>
        <v>Hockey Geelong</v>
      </c>
      <c r="I528" t="str">
        <f>VLOOKUP(D528,[1]TEmplate!$M$54:$O$65,3,0)</f>
        <v>HAW</v>
      </c>
      <c r="J528" s="4">
        <f>VLOOKUP(B528,[1]TEmplate!$AC$38:$AE$57,3,0)</f>
        <v>46148</v>
      </c>
    </row>
    <row r="529" spans="1:10" x14ac:dyDescent="0.3">
      <c r="A529" s="7" t="s">
        <v>17</v>
      </c>
      <c r="B529">
        <v>4</v>
      </c>
      <c r="C529">
        <v>6</v>
      </c>
      <c r="D529">
        <v>2</v>
      </c>
      <c r="E529" t="str">
        <f>VLOOKUP(D529,[1]TEmplate!$M$54:$O$65,2,0)</f>
        <v>Camberwell Blue</v>
      </c>
      <c r="F529" t="s">
        <v>5</v>
      </c>
      <c r="G529">
        <v>4</v>
      </c>
      <c r="H529" t="str">
        <f>VLOOKUP(G529,[1]TEmplate!$M$54:$O$65,2,0)</f>
        <v>Camberwell Tangerine</v>
      </c>
      <c r="J529" s="4">
        <f>VLOOKUP(B529,[1]TEmplate!$AC$38:$AE$57,3,0)</f>
        <v>46148</v>
      </c>
    </row>
    <row r="530" spans="1:10" x14ac:dyDescent="0.3">
      <c r="A530" s="7" t="s">
        <v>17</v>
      </c>
      <c r="B530">
        <v>5</v>
      </c>
      <c r="C530">
        <v>1</v>
      </c>
      <c r="D530">
        <v>4</v>
      </c>
      <c r="E530" t="str">
        <f>VLOOKUP(D530,[1]TEmplate!$M$54:$O$65,2,0)</f>
        <v>Camberwell Tangerine</v>
      </c>
      <c r="F530" t="s">
        <v>5</v>
      </c>
      <c r="G530">
        <v>3</v>
      </c>
      <c r="H530" t="str">
        <f>VLOOKUP(G530,[1]TEmplate!$M$54:$O$65,2,0)</f>
        <v>Yarra Hockey Club</v>
      </c>
      <c r="I530" t="str">
        <f>VLOOKUP(D530,[1]TEmplate!$M$54:$O$65,3,0)</f>
        <v>CAM</v>
      </c>
      <c r="J530" s="4">
        <f>VLOOKUP(B530,[1]TEmplate!$AC$38:$AE$57,3,0)</f>
        <v>46155</v>
      </c>
    </row>
    <row r="531" spans="1:10" x14ac:dyDescent="0.3">
      <c r="A531" s="7" t="s">
        <v>17</v>
      </c>
      <c r="B531">
        <v>5</v>
      </c>
      <c r="C531">
        <v>2</v>
      </c>
      <c r="D531">
        <v>5</v>
      </c>
      <c r="E531" t="str">
        <f>VLOOKUP(D531,[1]TEmplate!$M$54:$O$65,2,0)</f>
        <v>Hockey Geelong</v>
      </c>
      <c r="F531" t="s">
        <v>5</v>
      </c>
      <c r="G531">
        <v>2</v>
      </c>
      <c r="H531" t="str">
        <f>VLOOKUP(G531,[1]TEmplate!$M$54:$O$65,2,0)</f>
        <v>Camberwell Blue</v>
      </c>
      <c r="I531" t="str">
        <f>VLOOKUP(D531,[1]TEmplate!$M$54:$O$65,3,0)</f>
        <v>GEL</v>
      </c>
      <c r="J531" s="4">
        <f>VLOOKUP(B531,[1]TEmplate!$AC$38:$AE$57,3,0)</f>
        <v>46155</v>
      </c>
    </row>
    <row r="532" spans="1:10" x14ac:dyDescent="0.3">
      <c r="A532" s="7" t="s">
        <v>17</v>
      </c>
      <c r="B532">
        <v>5</v>
      </c>
      <c r="C532">
        <v>3</v>
      </c>
      <c r="D532">
        <v>6</v>
      </c>
      <c r="E532" t="str">
        <f>VLOOKUP(D532,[1]TEmplate!$M$54:$O$65,2,0)</f>
        <v>Knox Hockey Club</v>
      </c>
      <c r="F532" t="s">
        <v>5</v>
      </c>
      <c r="G532">
        <v>1</v>
      </c>
      <c r="H532" t="str">
        <f>VLOOKUP(G532,[1]TEmplate!$M$54:$O$65,2,0)</f>
        <v>Hawthorn Hockey Club</v>
      </c>
      <c r="I532" t="str">
        <f>VLOOKUP(D532,[1]TEmplate!$M$54:$O$65,3,0)</f>
        <v>KNX</v>
      </c>
      <c r="J532" s="4">
        <f>VLOOKUP(B532,[1]TEmplate!$AC$38:$AE$57,3,0)</f>
        <v>46155</v>
      </c>
    </row>
    <row r="533" spans="1:10" x14ac:dyDescent="0.3">
      <c r="A533" s="7" t="s">
        <v>17</v>
      </c>
      <c r="B533">
        <v>5</v>
      </c>
      <c r="C533">
        <v>4</v>
      </c>
      <c r="D533">
        <v>7</v>
      </c>
      <c r="E533" t="str">
        <f>VLOOKUP(D533,[1]TEmplate!$M$54:$O$65,2,0)</f>
        <v>Footscray Blue</v>
      </c>
      <c r="F533" t="s">
        <v>5</v>
      </c>
      <c r="G533">
        <v>11</v>
      </c>
      <c r="H533" t="str">
        <f>VLOOKUP(G533,[1]TEmplate!$M$54:$O$65,2,0)</f>
        <v>Doncaster Hockey Club</v>
      </c>
      <c r="I533" t="str">
        <f>VLOOKUP(D533,[1]TEmplate!$M$54:$O$65,3,0)</f>
        <v>FHC</v>
      </c>
      <c r="J533" s="4">
        <f>VLOOKUP(B533,[1]TEmplate!$AC$38:$AE$57,3,0)</f>
        <v>46155</v>
      </c>
    </row>
    <row r="534" spans="1:10" x14ac:dyDescent="0.3">
      <c r="A534" s="7" t="s">
        <v>17</v>
      </c>
      <c r="B534">
        <v>5</v>
      </c>
      <c r="C534">
        <v>5</v>
      </c>
      <c r="D534">
        <v>8</v>
      </c>
      <c r="E534" t="str">
        <f>VLOOKUP(D534,[1]TEmplate!$M$54:$O$65,2,0)</f>
        <v>MHSOB</v>
      </c>
      <c r="F534" t="s">
        <v>5</v>
      </c>
      <c r="G534">
        <v>10</v>
      </c>
      <c r="H534" t="str">
        <f>VLOOKUP(G534,[1]TEmplate!$M$54:$O$65,2,0)</f>
        <v>MCC Hockey Section</v>
      </c>
      <c r="I534" t="str">
        <f>VLOOKUP(D534,[1]TEmplate!$M$54:$O$65,3,0)</f>
        <v>APK</v>
      </c>
      <c r="J534" s="4">
        <f>VLOOKUP(B534,[1]TEmplate!$AC$38:$AE$57,3,0)</f>
        <v>46155</v>
      </c>
    </row>
    <row r="535" spans="1:10" x14ac:dyDescent="0.3">
      <c r="A535" s="7" t="s">
        <v>17</v>
      </c>
      <c r="B535">
        <v>5</v>
      </c>
      <c r="C535">
        <v>6</v>
      </c>
      <c r="D535">
        <v>9</v>
      </c>
      <c r="E535" t="str">
        <f>VLOOKUP(D535,[1]TEmplate!$M$54:$O$65,2,0)</f>
        <v>Southern C</v>
      </c>
      <c r="F535" t="s">
        <v>5</v>
      </c>
      <c r="G535">
        <v>12</v>
      </c>
      <c r="H535" t="str">
        <f>VLOOKUP(G535,[1]TEmplate!$M$54:$O$65,2,0)</f>
        <v>KBH Brumbies Hockey Club</v>
      </c>
      <c r="I535" t="str">
        <f>VLOOKUP(D535,[1]TEmplate!$M$54:$O$65,3,0)</f>
        <v>DAN</v>
      </c>
      <c r="J535" s="4">
        <f>VLOOKUP(B535,[1]TEmplate!$AC$38:$AE$57,3,0)</f>
        <v>46155</v>
      </c>
    </row>
    <row r="536" spans="1:10" x14ac:dyDescent="0.3">
      <c r="A536" s="7" t="s">
        <v>17</v>
      </c>
      <c r="B536">
        <v>6</v>
      </c>
      <c r="C536">
        <v>1</v>
      </c>
      <c r="D536">
        <v>10</v>
      </c>
      <c r="E536" t="str">
        <f>VLOOKUP(D536,[1]TEmplate!$M$54:$O$65,2,0)</f>
        <v>MCC Hockey Section</v>
      </c>
      <c r="F536" t="s">
        <v>5</v>
      </c>
      <c r="G536">
        <v>9</v>
      </c>
      <c r="H536" t="str">
        <f>VLOOKUP(G536,[1]TEmplate!$M$54:$O$65,2,0)</f>
        <v>Southern C</v>
      </c>
      <c r="I536" t="str">
        <f>VLOOKUP(D536,[1]TEmplate!$M$54:$O$65,3,0)</f>
        <v>ELW</v>
      </c>
      <c r="J536" s="4">
        <f>VLOOKUP(B536,[1]TEmplate!$AC$38:$AE$57,3,0)</f>
        <v>46162</v>
      </c>
    </row>
    <row r="537" spans="1:10" x14ac:dyDescent="0.3">
      <c r="A537" s="7" t="s">
        <v>17</v>
      </c>
      <c r="B537">
        <v>6</v>
      </c>
      <c r="C537">
        <v>2</v>
      </c>
      <c r="D537">
        <v>11</v>
      </c>
      <c r="E537" t="str">
        <f>VLOOKUP(D537,[1]TEmplate!$M$54:$O$65,2,0)</f>
        <v>Doncaster Hockey Club</v>
      </c>
      <c r="F537" t="s">
        <v>5</v>
      </c>
      <c r="G537">
        <v>8</v>
      </c>
      <c r="H537" t="str">
        <f>VLOOKUP(G537,[1]TEmplate!$M$54:$O$65,2,0)</f>
        <v>MHSOB</v>
      </c>
      <c r="I537" t="str">
        <f>VLOOKUP(D537,[1]TEmplate!$M$54:$O$65,3,0)</f>
        <v>DON</v>
      </c>
      <c r="J537" s="4">
        <f>VLOOKUP(B537,[1]TEmplate!$AC$38:$AE$57,3,0)</f>
        <v>46162</v>
      </c>
    </row>
    <row r="538" spans="1:10" x14ac:dyDescent="0.3">
      <c r="A538" s="7" t="s">
        <v>17</v>
      </c>
      <c r="B538">
        <v>6</v>
      </c>
      <c r="C538">
        <v>3</v>
      </c>
      <c r="D538">
        <v>12</v>
      </c>
      <c r="E538" t="str">
        <f>VLOOKUP(D538,[1]TEmplate!$M$54:$O$65,2,0)</f>
        <v>KBH Brumbies Hockey Club</v>
      </c>
      <c r="F538" t="s">
        <v>5</v>
      </c>
      <c r="G538">
        <v>4</v>
      </c>
      <c r="H538" t="str">
        <f>VLOOKUP(G538,[1]TEmplate!$M$54:$O$65,2,0)</f>
        <v>Camberwell Tangerine</v>
      </c>
      <c r="I538" t="str">
        <f>VLOOKUP(D538,[1]TEmplate!$M$54:$O$65,3,0)</f>
        <v>ELG</v>
      </c>
      <c r="J538" s="4">
        <f>VLOOKUP(B538,[1]TEmplate!$AC$38:$AE$57,3,0)</f>
        <v>46162</v>
      </c>
    </row>
    <row r="539" spans="1:10" x14ac:dyDescent="0.3">
      <c r="A539" s="7" t="s">
        <v>17</v>
      </c>
      <c r="B539">
        <v>6</v>
      </c>
      <c r="C539">
        <v>4</v>
      </c>
      <c r="D539">
        <v>1</v>
      </c>
      <c r="E539" t="str">
        <f>VLOOKUP(D539,[1]TEmplate!$M$54:$O$65,2,0)</f>
        <v>Hawthorn Hockey Club</v>
      </c>
      <c r="F539" t="s">
        <v>5</v>
      </c>
      <c r="G539">
        <v>7</v>
      </c>
      <c r="H539" t="str">
        <f>VLOOKUP(G539,[1]TEmplate!$M$54:$O$65,2,0)</f>
        <v>Footscray Blue</v>
      </c>
      <c r="I539" t="str">
        <f>VLOOKUP(D539,[1]TEmplate!$M$54:$O$65,3,0)</f>
        <v>HAW</v>
      </c>
      <c r="J539" s="4">
        <f>VLOOKUP(B539,[1]TEmplate!$AC$38:$AE$57,3,0)</f>
        <v>46162</v>
      </c>
    </row>
    <row r="540" spans="1:10" x14ac:dyDescent="0.3">
      <c r="A540" s="7" t="s">
        <v>17</v>
      </c>
      <c r="B540">
        <v>6</v>
      </c>
      <c r="C540">
        <v>5</v>
      </c>
      <c r="D540">
        <v>2</v>
      </c>
      <c r="E540" t="str">
        <f>VLOOKUP(D540,[1]TEmplate!$M$54:$O$65,2,0)</f>
        <v>Camberwell Blue</v>
      </c>
      <c r="F540" t="s">
        <v>5</v>
      </c>
      <c r="G540">
        <v>6</v>
      </c>
      <c r="H540" t="str">
        <f>VLOOKUP(G540,[1]TEmplate!$M$54:$O$65,2,0)</f>
        <v>Knox Hockey Club</v>
      </c>
      <c r="J540" s="4">
        <f>VLOOKUP(B540,[1]TEmplate!$AC$38:$AE$57,3,0)</f>
        <v>46162</v>
      </c>
    </row>
    <row r="541" spans="1:10" x14ac:dyDescent="0.3">
      <c r="A541" s="7" t="s">
        <v>17</v>
      </c>
      <c r="B541">
        <v>6</v>
      </c>
      <c r="C541">
        <v>6</v>
      </c>
      <c r="D541">
        <v>3</v>
      </c>
      <c r="E541" t="str">
        <f>VLOOKUP(D541,[1]TEmplate!$M$54:$O$65,2,0)</f>
        <v>Yarra Hockey Club</v>
      </c>
      <c r="F541" t="s">
        <v>5</v>
      </c>
      <c r="G541">
        <v>5</v>
      </c>
      <c r="H541" t="str">
        <f>VLOOKUP(G541,[1]TEmplate!$M$54:$O$65,2,0)</f>
        <v>Hockey Geelong</v>
      </c>
      <c r="I541" t="str">
        <f>VLOOKUP(D541,[1]TEmplate!$M$54:$O$65,3,0)</f>
        <v>YAR</v>
      </c>
      <c r="J541" s="4">
        <f>VLOOKUP(B541,[1]TEmplate!$AC$38:$AE$57,3,0)</f>
        <v>46162</v>
      </c>
    </row>
    <row r="542" spans="1:10" x14ac:dyDescent="0.3">
      <c r="A542" s="7" t="s">
        <v>17</v>
      </c>
      <c r="B542">
        <v>7</v>
      </c>
      <c r="C542">
        <v>1</v>
      </c>
      <c r="D542">
        <v>5</v>
      </c>
      <c r="E542" t="str">
        <f>VLOOKUP(D542,[1]TEmplate!$M$54:$O$65,2,0)</f>
        <v>Hockey Geelong</v>
      </c>
      <c r="F542" t="s">
        <v>5</v>
      </c>
      <c r="G542">
        <v>4</v>
      </c>
      <c r="H542" t="str">
        <f>VLOOKUP(G542,[1]TEmplate!$M$54:$O$65,2,0)</f>
        <v>Camberwell Tangerine</v>
      </c>
      <c r="I542" t="str">
        <f>VLOOKUP(D542,[1]TEmplate!$M$54:$O$65,3,0)</f>
        <v>GEL</v>
      </c>
      <c r="J542" s="4">
        <f>VLOOKUP(B542,[1]TEmplate!$AC$38:$AE$57,3,0)</f>
        <v>46169</v>
      </c>
    </row>
    <row r="543" spans="1:10" x14ac:dyDescent="0.3">
      <c r="A543" s="7" t="s">
        <v>17</v>
      </c>
      <c r="B543">
        <v>7</v>
      </c>
      <c r="C543">
        <v>2</v>
      </c>
      <c r="D543">
        <v>6</v>
      </c>
      <c r="E543" t="str">
        <f>VLOOKUP(D543,[1]TEmplate!$M$54:$O$65,2,0)</f>
        <v>Knox Hockey Club</v>
      </c>
      <c r="F543" t="s">
        <v>5</v>
      </c>
      <c r="G543">
        <v>3</v>
      </c>
      <c r="H543" t="str">
        <f>VLOOKUP(G543,[1]TEmplate!$M$54:$O$65,2,0)</f>
        <v>Yarra Hockey Club</v>
      </c>
      <c r="I543" t="str">
        <f>VLOOKUP(D543,[1]TEmplate!$M$54:$O$65,3,0)</f>
        <v>KNX</v>
      </c>
      <c r="J543" s="4">
        <f>VLOOKUP(B543,[1]TEmplate!$AC$38:$AE$57,3,0)</f>
        <v>46169</v>
      </c>
    </row>
    <row r="544" spans="1:10" x14ac:dyDescent="0.3">
      <c r="A544" s="7" t="s">
        <v>17</v>
      </c>
      <c r="B544">
        <v>7</v>
      </c>
      <c r="C544">
        <v>3</v>
      </c>
      <c r="D544">
        <v>7</v>
      </c>
      <c r="E544" t="str">
        <f>VLOOKUP(D544,[1]TEmplate!$M$54:$O$65,2,0)</f>
        <v>Footscray Blue</v>
      </c>
      <c r="F544" t="s">
        <v>5</v>
      </c>
      <c r="G544">
        <v>2</v>
      </c>
      <c r="H544" t="str">
        <f>VLOOKUP(G544,[1]TEmplate!$M$54:$O$65,2,0)</f>
        <v>Camberwell Blue</v>
      </c>
      <c r="I544" t="str">
        <f>VLOOKUP(D544,[1]TEmplate!$M$54:$O$65,3,0)</f>
        <v>FHC</v>
      </c>
      <c r="J544" s="4">
        <f>VLOOKUP(B544,[1]TEmplate!$AC$38:$AE$57,3,0)</f>
        <v>46169</v>
      </c>
    </row>
    <row r="545" spans="1:10" x14ac:dyDescent="0.3">
      <c r="A545" s="7" t="s">
        <v>17</v>
      </c>
      <c r="B545">
        <v>7</v>
      </c>
      <c r="C545">
        <v>4</v>
      </c>
      <c r="D545">
        <v>8</v>
      </c>
      <c r="E545" t="str">
        <f>VLOOKUP(D545,[1]TEmplate!$M$54:$O$65,2,0)</f>
        <v>MHSOB</v>
      </c>
      <c r="F545" t="s">
        <v>5</v>
      </c>
      <c r="G545">
        <v>1</v>
      </c>
      <c r="H545" t="str">
        <f>VLOOKUP(G545,[1]TEmplate!$M$54:$O$65,2,0)</f>
        <v>Hawthorn Hockey Club</v>
      </c>
      <c r="I545" t="str">
        <f>VLOOKUP(D545,[1]TEmplate!$M$54:$O$65,3,0)</f>
        <v>APK</v>
      </c>
      <c r="J545" s="4">
        <f>VLOOKUP(B545,[1]TEmplate!$AC$38:$AE$57,3,0)</f>
        <v>46169</v>
      </c>
    </row>
    <row r="546" spans="1:10" x14ac:dyDescent="0.3">
      <c r="A546" s="7" t="s">
        <v>17</v>
      </c>
      <c r="B546">
        <v>7</v>
      </c>
      <c r="C546">
        <v>5</v>
      </c>
      <c r="D546">
        <v>9</v>
      </c>
      <c r="E546" t="str">
        <f>VLOOKUP(D546,[1]TEmplate!$M$54:$O$65,2,0)</f>
        <v>Southern C</v>
      </c>
      <c r="F546" t="s">
        <v>5</v>
      </c>
      <c r="G546">
        <v>11</v>
      </c>
      <c r="H546" t="str">
        <f>VLOOKUP(G546,[1]TEmplate!$M$54:$O$65,2,0)</f>
        <v>Doncaster Hockey Club</v>
      </c>
      <c r="I546" t="str">
        <f>VLOOKUP(D546,[1]TEmplate!$M$54:$O$65,3,0)</f>
        <v>DAN</v>
      </c>
      <c r="J546" s="4">
        <f>VLOOKUP(B546,[1]TEmplate!$AC$38:$AE$57,3,0)</f>
        <v>46169</v>
      </c>
    </row>
    <row r="547" spans="1:10" x14ac:dyDescent="0.3">
      <c r="A547" s="7" t="s">
        <v>17</v>
      </c>
      <c r="B547">
        <v>7</v>
      </c>
      <c r="C547">
        <v>6</v>
      </c>
      <c r="D547">
        <v>10</v>
      </c>
      <c r="E547" t="str">
        <f>VLOOKUP(D547,[1]TEmplate!$M$54:$O$65,2,0)</f>
        <v>MCC Hockey Section</v>
      </c>
      <c r="F547" t="s">
        <v>5</v>
      </c>
      <c r="G547">
        <v>12</v>
      </c>
      <c r="H547" t="str">
        <f>VLOOKUP(G547,[1]TEmplate!$M$54:$O$65,2,0)</f>
        <v>KBH Brumbies Hockey Club</v>
      </c>
      <c r="I547" t="str">
        <f>VLOOKUP(D547,[1]TEmplate!$M$54:$O$65,3,0)</f>
        <v>ELW</v>
      </c>
      <c r="J547" s="4">
        <f>VLOOKUP(B547,[1]TEmplate!$AC$38:$AE$57,3,0)</f>
        <v>46169</v>
      </c>
    </row>
    <row r="548" spans="1:10" x14ac:dyDescent="0.3">
      <c r="A548" s="7" t="s">
        <v>17</v>
      </c>
      <c r="B548">
        <v>8</v>
      </c>
      <c r="C548">
        <v>1</v>
      </c>
      <c r="D548">
        <v>11</v>
      </c>
      <c r="E548" t="str">
        <f>VLOOKUP(D548,[1]TEmplate!$M$54:$O$65,2,0)</f>
        <v>Doncaster Hockey Club</v>
      </c>
      <c r="F548" t="s">
        <v>5</v>
      </c>
      <c r="G548">
        <v>10</v>
      </c>
      <c r="H548" t="str">
        <f>VLOOKUP(G548,[1]TEmplate!$M$54:$O$65,2,0)</f>
        <v>MCC Hockey Section</v>
      </c>
      <c r="I548" t="str">
        <f>VLOOKUP(D548,[1]TEmplate!$M$54:$O$65,3,0)</f>
        <v>DON</v>
      </c>
      <c r="J548" s="4">
        <f>VLOOKUP(B548,[1]TEmplate!$AC$38:$AE$57,3,0)</f>
        <v>46176</v>
      </c>
    </row>
    <row r="549" spans="1:10" x14ac:dyDescent="0.3">
      <c r="A549" s="7" t="s">
        <v>17</v>
      </c>
      <c r="B549">
        <v>8</v>
      </c>
      <c r="C549">
        <v>2</v>
      </c>
      <c r="D549">
        <v>12</v>
      </c>
      <c r="E549" t="str">
        <f>VLOOKUP(D549,[1]TEmplate!$M$54:$O$65,2,0)</f>
        <v>KBH Brumbies Hockey Club</v>
      </c>
      <c r="F549" t="s">
        <v>5</v>
      </c>
      <c r="G549">
        <v>5</v>
      </c>
      <c r="H549" t="str">
        <f>VLOOKUP(G549,[1]TEmplate!$M$54:$O$65,2,0)</f>
        <v>Hockey Geelong</v>
      </c>
      <c r="I549" t="str">
        <f>VLOOKUP(D549,[1]TEmplate!$M$54:$O$65,3,0)</f>
        <v>ELG</v>
      </c>
      <c r="J549" s="4">
        <f>VLOOKUP(B549,[1]TEmplate!$AC$38:$AE$57,3,0)</f>
        <v>46176</v>
      </c>
    </row>
    <row r="550" spans="1:10" x14ac:dyDescent="0.3">
      <c r="A550" s="7" t="s">
        <v>17</v>
      </c>
      <c r="B550">
        <v>8</v>
      </c>
      <c r="C550">
        <v>3</v>
      </c>
      <c r="D550">
        <v>1</v>
      </c>
      <c r="E550" t="str">
        <f>VLOOKUP(D550,[1]TEmplate!$M$54:$O$65,2,0)</f>
        <v>Hawthorn Hockey Club</v>
      </c>
      <c r="F550" t="s">
        <v>5</v>
      </c>
      <c r="G550">
        <v>9</v>
      </c>
      <c r="H550" t="str">
        <f>VLOOKUP(G550,[1]TEmplate!$M$54:$O$65,2,0)</f>
        <v>Southern C</v>
      </c>
      <c r="I550" t="str">
        <f>VLOOKUP(D550,[1]TEmplate!$M$54:$O$65,3,0)</f>
        <v>HAW</v>
      </c>
      <c r="J550" s="4">
        <f>VLOOKUP(B550,[1]TEmplate!$AC$38:$AE$57,3,0)</f>
        <v>46176</v>
      </c>
    </row>
    <row r="551" spans="1:10" x14ac:dyDescent="0.3">
      <c r="A551" s="7" t="s">
        <v>17</v>
      </c>
      <c r="B551">
        <v>8</v>
      </c>
      <c r="C551">
        <v>4</v>
      </c>
      <c r="D551">
        <v>2</v>
      </c>
      <c r="E551" t="str">
        <f>VLOOKUP(D551,[1]TEmplate!$M$54:$O$65,2,0)</f>
        <v>Camberwell Blue</v>
      </c>
      <c r="F551" t="s">
        <v>5</v>
      </c>
      <c r="G551">
        <v>8</v>
      </c>
      <c r="H551" t="str">
        <f>VLOOKUP(G551,[1]TEmplate!$M$54:$O$65,2,0)</f>
        <v>MHSOB</v>
      </c>
      <c r="J551" s="4">
        <f>VLOOKUP(B551,[1]TEmplate!$AC$38:$AE$57,3,0)</f>
        <v>46176</v>
      </c>
    </row>
    <row r="552" spans="1:10" x14ac:dyDescent="0.3">
      <c r="A552" s="7" t="s">
        <v>17</v>
      </c>
      <c r="B552">
        <v>8</v>
      </c>
      <c r="C552">
        <v>5</v>
      </c>
      <c r="D552">
        <v>3</v>
      </c>
      <c r="E552" t="str">
        <f>VLOOKUP(D552,[1]TEmplate!$M$54:$O$65,2,0)</f>
        <v>Yarra Hockey Club</v>
      </c>
      <c r="F552" t="s">
        <v>5</v>
      </c>
      <c r="G552">
        <v>7</v>
      </c>
      <c r="H552" t="str">
        <f>VLOOKUP(G552,[1]TEmplate!$M$54:$O$65,2,0)</f>
        <v>Footscray Blue</v>
      </c>
      <c r="I552" t="str">
        <f>VLOOKUP(D552,[1]TEmplate!$M$54:$O$65,3,0)</f>
        <v>YAR</v>
      </c>
      <c r="J552" s="4">
        <f>VLOOKUP(B552,[1]TEmplate!$AC$38:$AE$57,3,0)</f>
        <v>46176</v>
      </c>
    </row>
    <row r="553" spans="1:10" x14ac:dyDescent="0.3">
      <c r="A553" s="7" t="s">
        <v>17</v>
      </c>
      <c r="B553">
        <v>8</v>
      </c>
      <c r="C553">
        <v>6</v>
      </c>
      <c r="D553">
        <v>4</v>
      </c>
      <c r="E553" t="str">
        <f>VLOOKUP(D553,[1]TEmplate!$M$54:$O$65,2,0)</f>
        <v>Camberwell Tangerine</v>
      </c>
      <c r="F553" t="s">
        <v>5</v>
      </c>
      <c r="G553">
        <v>6</v>
      </c>
      <c r="H553" t="str">
        <f>VLOOKUP(G553,[1]TEmplate!$M$54:$O$65,2,0)</f>
        <v>Knox Hockey Club</v>
      </c>
      <c r="I553" t="str">
        <f>VLOOKUP(D553,[1]TEmplate!$M$54:$O$65,3,0)</f>
        <v>CAM</v>
      </c>
      <c r="J553" s="4">
        <f>VLOOKUP(B553,[1]TEmplate!$AC$38:$AE$57,3,0)</f>
        <v>46176</v>
      </c>
    </row>
    <row r="554" spans="1:10" x14ac:dyDescent="0.3">
      <c r="A554" s="7" t="s">
        <v>17</v>
      </c>
      <c r="B554">
        <v>9</v>
      </c>
      <c r="C554">
        <v>1</v>
      </c>
      <c r="D554">
        <v>6</v>
      </c>
      <c r="E554" t="str">
        <f>VLOOKUP(D554,[1]TEmplate!$M$54:$O$65,2,0)</f>
        <v>Knox Hockey Club</v>
      </c>
      <c r="F554" t="s">
        <v>5</v>
      </c>
      <c r="G554">
        <v>5</v>
      </c>
      <c r="H554" t="str">
        <f>VLOOKUP(G554,[1]TEmplate!$M$54:$O$65,2,0)</f>
        <v>Hockey Geelong</v>
      </c>
      <c r="I554" t="str">
        <f>VLOOKUP(D554,[1]TEmplate!$M$54:$O$65,3,0)</f>
        <v>KNX</v>
      </c>
      <c r="J554" s="4">
        <f>VLOOKUP(B554,[1]TEmplate!$AC$38:$AE$57,3,0)</f>
        <v>46190</v>
      </c>
    </row>
    <row r="555" spans="1:10" x14ac:dyDescent="0.3">
      <c r="A555" s="7" t="s">
        <v>17</v>
      </c>
      <c r="B555">
        <v>9</v>
      </c>
      <c r="C555">
        <v>2</v>
      </c>
      <c r="D555">
        <v>7</v>
      </c>
      <c r="E555" t="str">
        <f>VLOOKUP(D555,[1]TEmplate!$M$54:$O$65,2,0)</f>
        <v>Footscray Blue</v>
      </c>
      <c r="F555" t="s">
        <v>5</v>
      </c>
      <c r="G555">
        <v>4</v>
      </c>
      <c r="H555" t="str">
        <f>VLOOKUP(G555,[1]TEmplate!$M$54:$O$65,2,0)</f>
        <v>Camberwell Tangerine</v>
      </c>
      <c r="I555" t="str">
        <f>VLOOKUP(D555,[1]TEmplate!$M$54:$O$65,3,0)</f>
        <v>FHC</v>
      </c>
      <c r="J555" s="4">
        <f>VLOOKUP(B555,[1]TEmplate!$AC$38:$AE$57,3,0)</f>
        <v>46190</v>
      </c>
    </row>
    <row r="556" spans="1:10" x14ac:dyDescent="0.3">
      <c r="A556" s="7" t="s">
        <v>17</v>
      </c>
      <c r="B556">
        <v>9</v>
      </c>
      <c r="C556">
        <v>3</v>
      </c>
      <c r="D556">
        <v>8</v>
      </c>
      <c r="E556" t="str">
        <f>VLOOKUP(D556,[1]TEmplate!$M$54:$O$65,2,0)</f>
        <v>MHSOB</v>
      </c>
      <c r="F556" t="s">
        <v>5</v>
      </c>
      <c r="G556">
        <v>3</v>
      </c>
      <c r="H556" t="str">
        <f>VLOOKUP(G556,[1]TEmplate!$M$54:$O$65,2,0)</f>
        <v>Yarra Hockey Club</v>
      </c>
      <c r="I556" t="str">
        <f>VLOOKUP(D556,[1]TEmplate!$M$54:$O$65,3,0)</f>
        <v>APK</v>
      </c>
      <c r="J556" s="4">
        <f>VLOOKUP(B556,[1]TEmplate!$AC$38:$AE$57,3,0)</f>
        <v>46190</v>
      </c>
    </row>
    <row r="557" spans="1:10" x14ac:dyDescent="0.3">
      <c r="A557" s="7" t="s">
        <v>17</v>
      </c>
      <c r="B557">
        <v>9</v>
      </c>
      <c r="C557">
        <v>4</v>
      </c>
      <c r="D557">
        <v>9</v>
      </c>
      <c r="E557" t="str">
        <f>VLOOKUP(D557,[1]TEmplate!$M$54:$O$65,2,0)</f>
        <v>Southern C</v>
      </c>
      <c r="F557" t="s">
        <v>5</v>
      </c>
      <c r="G557">
        <v>2</v>
      </c>
      <c r="H557" t="str">
        <f>VLOOKUP(G557,[1]TEmplate!$M$54:$O$65,2,0)</f>
        <v>Camberwell Blue</v>
      </c>
      <c r="I557" t="str">
        <f>VLOOKUP(D557,[1]TEmplate!$M$54:$O$65,3,0)</f>
        <v>DAN</v>
      </c>
      <c r="J557" s="4">
        <f>VLOOKUP(B557,[1]TEmplate!$AC$38:$AE$57,3,0)</f>
        <v>46190</v>
      </c>
    </row>
    <row r="558" spans="1:10" x14ac:dyDescent="0.3">
      <c r="A558" s="7" t="s">
        <v>17</v>
      </c>
      <c r="B558">
        <v>9</v>
      </c>
      <c r="C558">
        <v>5</v>
      </c>
      <c r="D558">
        <v>10</v>
      </c>
      <c r="E558" t="str">
        <f>VLOOKUP(D558,[1]TEmplate!$M$54:$O$65,2,0)</f>
        <v>MCC Hockey Section</v>
      </c>
      <c r="F558" t="s">
        <v>5</v>
      </c>
      <c r="G558">
        <v>1</v>
      </c>
      <c r="H558" t="str">
        <f>VLOOKUP(G558,[1]TEmplate!$M$54:$O$65,2,0)</f>
        <v>Hawthorn Hockey Club</v>
      </c>
      <c r="I558" t="str">
        <f>VLOOKUP(D558,[1]TEmplate!$M$54:$O$65,3,0)</f>
        <v>ELW</v>
      </c>
      <c r="J558" s="4">
        <f>VLOOKUP(B558,[1]TEmplate!$AC$38:$AE$57,3,0)</f>
        <v>46190</v>
      </c>
    </row>
    <row r="559" spans="1:10" x14ac:dyDescent="0.3">
      <c r="A559" s="7" t="s">
        <v>17</v>
      </c>
      <c r="B559">
        <v>9</v>
      </c>
      <c r="C559">
        <v>6</v>
      </c>
      <c r="D559">
        <v>11</v>
      </c>
      <c r="E559" t="str">
        <f>VLOOKUP(D559,[1]TEmplate!$M$54:$O$65,2,0)</f>
        <v>Doncaster Hockey Club</v>
      </c>
      <c r="F559" t="s">
        <v>5</v>
      </c>
      <c r="G559">
        <v>12</v>
      </c>
      <c r="H559" t="str">
        <f>VLOOKUP(G559,[1]TEmplate!$M$54:$O$65,2,0)</f>
        <v>KBH Brumbies Hockey Club</v>
      </c>
      <c r="I559" t="str">
        <f>VLOOKUP(D559,[1]TEmplate!$M$54:$O$65,3,0)</f>
        <v>DON</v>
      </c>
      <c r="J559" s="4">
        <f>VLOOKUP(B559,[1]TEmplate!$AC$38:$AE$57,3,0)</f>
        <v>46190</v>
      </c>
    </row>
    <row r="560" spans="1:10" x14ac:dyDescent="0.3">
      <c r="A560" s="7" t="s">
        <v>17</v>
      </c>
      <c r="B560">
        <v>10</v>
      </c>
      <c r="C560">
        <v>1</v>
      </c>
      <c r="D560">
        <v>6</v>
      </c>
      <c r="E560" t="str">
        <f>VLOOKUP(D560,[1]TEmplate!$M$54:$O$65,2,0)</f>
        <v>Knox Hockey Club</v>
      </c>
      <c r="F560" t="s">
        <v>5</v>
      </c>
      <c r="G560">
        <v>12</v>
      </c>
      <c r="H560" t="str">
        <f>VLOOKUP(G560,[1]TEmplate!$M$54:$O$65,2,0)</f>
        <v>KBH Brumbies Hockey Club</v>
      </c>
      <c r="I560" t="str">
        <f>VLOOKUP(D560,[1]TEmplate!$M$54:$O$65,3,0)</f>
        <v>KNX</v>
      </c>
      <c r="J560" s="4">
        <f>VLOOKUP(B560,[1]TEmplate!$AC$38:$AE$57,3,0)</f>
        <v>46197</v>
      </c>
    </row>
    <row r="561" spans="1:10" x14ac:dyDescent="0.3">
      <c r="A561" s="7" t="s">
        <v>17</v>
      </c>
      <c r="B561">
        <v>10</v>
      </c>
      <c r="C561">
        <v>2</v>
      </c>
      <c r="D561">
        <v>1</v>
      </c>
      <c r="E561" t="str">
        <f>VLOOKUP(D561,[1]TEmplate!$M$54:$O$65,2,0)</f>
        <v>Hawthorn Hockey Club</v>
      </c>
      <c r="F561" t="s">
        <v>5</v>
      </c>
      <c r="G561">
        <v>11</v>
      </c>
      <c r="H561" t="str">
        <f>VLOOKUP(G561,[1]TEmplate!$M$54:$O$65,2,0)</f>
        <v>Doncaster Hockey Club</v>
      </c>
      <c r="I561" t="str">
        <f>VLOOKUP(D561,[1]TEmplate!$M$54:$O$65,3,0)</f>
        <v>HAW</v>
      </c>
      <c r="J561" s="4">
        <f>VLOOKUP(B561,[1]TEmplate!$AC$38:$AE$57,3,0)</f>
        <v>46197</v>
      </c>
    </row>
    <row r="562" spans="1:10" x14ac:dyDescent="0.3">
      <c r="A562" s="7" t="s">
        <v>17</v>
      </c>
      <c r="B562">
        <v>10</v>
      </c>
      <c r="C562">
        <v>3</v>
      </c>
      <c r="D562">
        <v>3</v>
      </c>
      <c r="E562" t="str">
        <f>VLOOKUP(D562,[1]TEmplate!$M$54:$O$65,2,0)</f>
        <v>Yarra Hockey Club</v>
      </c>
      <c r="F562" t="s">
        <v>5</v>
      </c>
      <c r="G562">
        <v>9</v>
      </c>
      <c r="H562" t="str">
        <f>VLOOKUP(G562,[1]TEmplate!$M$54:$O$65,2,0)</f>
        <v>Southern C</v>
      </c>
      <c r="I562" t="str">
        <f>VLOOKUP(D562,[1]TEmplate!$M$54:$O$65,3,0)</f>
        <v>YAR</v>
      </c>
      <c r="J562" s="4">
        <f>VLOOKUP(B562,[1]TEmplate!$AC$38:$AE$57,3,0)</f>
        <v>46197</v>
      </c>
    </row>
    <row r="563" spans="1:10" x14ac:dyDescent="0.3">
      <c r="A563" s="7" t="s">
        <v>17</v>
      </c>
      <c r="B563">
        <v>10</v>
      </c>
      <c r="C563">
        <v>4</v>
      </c>
      <c r="D563">
        <v>4</v>
      </c>
      <c r="E563" t="str">
        <f>VLOOKUP(D563,[1]TEmplate!$M$54:$O$65,2,0)</f>
        <v>Camberwell Tangerine</v>
      </c>
      <c r="F563" t="s">
        <v>5</v>
      </c>
      <c r="G563">
        <v>8</v>
      </c>
      <c r="H563" t="str">
        <f>VLOOKUP(G563,[1]TEmplate!$M$54:$O$65,2,0)</f>
        <v>MHSOB</v>
      </c>
      <c r="I563" t="str">
        <f>VLOOKUP(D563,[1]TEmplate!$M$54:$O$65,3,0)</f>
        <v>CAM</v>
      </c>
      <c r="J563" s="4">
        <f>VLOOKUP(B563,[1]TEmplate!$AC$38:$AE$57,3,0)</f>
        <v>46197</v>
      </c>
    </row>
    <row r="564" spans="1:10" x14ac:dyDescent="0.3">
      <c r="A564" s="7" t="s">
        <v>17</v>
      </c>
      <c r="B564">
        <v>10</v>
      </c>
      <c r="C564">
        <v>5</v>
      </c>
      <c r="D564">
        <v>5</v>
      </c>
      <c r="E564" t="str">
        <f>VLOOKUP(D564,[1]TEmplate!$M$54:$O$65,2,0)</f>
        <v>Hockey Geelong</v>
      </c>
      <c r="F564" t="s">
        <v>5</v>
      </c>
      <c r="G564">
        <v>7</v>
      </c>
      <c r="H564" t="str">
        <f>VLOOKUP(G564,[1]TEmplate!$M$54:$O$65,2,0)</f>
        <v>Footscray Blue</v>
      </c>
      <c r="I564" t="str">
        <f>VLOOKUP(D564,[1]TEmplate!$M$54:$O$65,3,0)</f>
        <v>GEL</v>
      </c>
      <c r="J564" s="4">
        <f>VLOOKUP(B564,[1]TEmplate!$AC$38:$AE$57,3,0)</f>
        <v>46197</v>
      </c>
    </row>
    <row r="565" spans="1:10" x14ac:dyDescent="0.3">
      <c r="A565" s="7" t="s">
        <v>17</v>
      </c>
      <c r="B565">
        <v>10</v>
      </c>
      <c r="C565">
        <v>6</v>
      </c>
      <c r="D565">
        <v>2</v>
      </c>
      <c r="E565" t="str">
        <f>VLOOKUP(D565,[1]TEmplate!$M$54:$O$65,2,0)</f>
        <v>Camberwell Blue</v>
      </c>
      <c r="F565" t="s">
        <v>5</v>
      </c>
      <c r="G565">
        <v>10</v>
      </c>
      <c r="H565" t="str">
        <f>VLOOKUP(G565,[1]TEmplate!$M$54:$O$65,2,0)</f>
        <v>MCC Hockey Section</v>
      </c>
      <c r="J565" s="4">
        <f>VLOOKUP(B565,[1]TEmplate!$AC$38:$AE$57,3,0)</f>
        <v>46197</v>
      </c>
    </row>
    <row r="566" spans="1:10" x14ac:dyDescent="0.3">
      <c r="A566" s="7" t="s">
        <v>17</v>
      </c>
      <c r="B566">
        <v>11</v>
      </c>
      <c r="C566">
        <v>1</v>
      </c>
      <c r="D566">
        <v>7</v>
      </c>
      <c r="E566" t="str">
        <f>VLOOKUP(D566,[1]TEmplate!$M$54:$O$65,2,0)</f>
        <v>Footscray Blue</v>
      </c>
      <c r="F566" t="s">
        <v>5</v>
      </c>
      <c r="G566">
        <v>6</v>
      </c>
      <c r="H566" t="str">
        <f>VLOOKUP(G566,[1]TEmplate!$M$54:$O$65,2,0)</f>
        <v>Knox Hockey Club</v>
      </c>
      <c r="I566" t="str">
        <f>VLOOKUP(D566,[1]TEmplate!$M$54:$O$65,3,0)</f>
        <v>FHC</v>
      </c>
      <c r="J566" s="4">
        <f>VLOOKUP(B566,[1]TEmplate!$AC$38:$AE$57,3,0)</f>
        <v>46204</v>
      </c>
    </row>
    <row r="567" spans="1:10" x14ac:dyDescent="0.3">
      <c r="A567" s="7" t="s">
        <v>17</v>
      </c>
      <c r="B567">
        <v>11</v>
      </c>
      <c r="C567">
        <v>2</v>
      </c>
      <c r="D567">
        <v>8</v>
      </c>
      <c r="E567" t="str">
        <f>VLOOKUP(D567,[1]TEmplate!$M$54:$O$65,2,0)</f>
        <v>MHSOB</v>
      </c>
      <c r="F567" t="s">
        <v>5</v>
      </c>
      <c r="G567">
        <v>5</v>
      </c>
      <c r="H567" t="str">
        <f>VLOOKUP(G567,[1]TEmplate!$M$54:$O$65,2,0)</f>
        <v>Hockey Geelong</v>
      </c>
      <c r="I567" t="str">
        <f>VLOOKUP(D567,[1]TEmplate!$M$54:$O$65,3,0)</f>
        <v>APK</v>
      </c>
      <c r="J567" s="4">
        <f>VLOOKUP(B567,[1]TEmplate!$AC$38:$AE$57,3,0)</f>
        <v>46204</v>
      </c>
    </row>
    <row r="568" spans="1:10" x14ac:dyDescent="0.3">
      <c r="A568" s="7" t="s">
        <v>17</v>
      </c>
      <c r="B568">
        <v>11</v>
      </c>
      <c r="C568">
        <v>3</v>
      </c>
      <c r="D568">
        <v>9</v>
      </c>
      <c r="E568" t="str">
        <f>VLOOKUP(D568,[1]TEmplate!$M$54:$O$65,2,0)</f>
        <v>Southern C</v>
      </c>
      <c r="F568" t="s">
        <v>5</v>
      </c>
      <c r="G568">
        <v>4</v>
      </c>
      <c r="H568" t="str">
        <f>VLOOKUP(G568,[1]TEmplate!$M$54:$O$65,2,0)</f>
        <v>Camberwell Tangerine</v>
      </c>
      <c r="I568" t="str">
        <f>VLOOKUP(D568,[1]TEmplate!$M$54:$O$65,3,0)</f>
        <v>DAN</v>
      </c>
      <c r="J568" s="4">
        <f>VLOOKUP(B568,[1]TEmplate!$AC$38:$AE$57,3,0)</f>
        <v>46204</v>
      </c>
    </row>
    <row r="569" spans="1:10" x14ac:dyDescent="0.3">
      <c r="A569" s="7" t="s">
        <v>17</v>
      </c>
      <c r="B569">
        <v>11</v>
      </c>
      <c r="C569">
        <v>4</v>
      </c>
      <c r="D569">
        <v>10</v>
      </c>
      <c r="E569" t="str">
        <f>VLOOKUP(D569,[1]TEmplate!$M$54:$O$65,2,0)</f>
        <v>MCC Hockey Section</v>
      </c>
      <c r="F569" t="s">
        <v>5</v>
      </c>
      <c r="G569">
        <v>3</v>
      </c>
      <c r="H569" t="str">
        <f>VLOOKUP(G569,[1]TEmplate!$M$54:$O$65,2,0)</f>
        <v>Yarra Hockey Club</v>
      </c>
      <c r="I569" t="str">
        <f>VLOOKUP(D569,[1]TEmplate!$M$54:$O$65,3,0)</f>
        <v>ELW</v>
      </c>
      <c r="J569" s="4">
        <f>VLOOKUP(B569,[1]TEmplate!$AC$38:$AE$57,3,0)</f>
        <v>46204</v>
      </c>
    </row>
    <row r="570" spans="1:10" x14ac:dyDescent="0.3">
      <c r="A570" s="7" t="s">
        <v>17</v>
      </c>
      <c r="B570">
        <v>11</v>
      </c>
      <c r="C570">
        <v>5</v>
      </c>
      <c r="D570">
        <v>11</v>
      </c>
      <c r="E570" t="str">
        <f>VLOOKUP(D570,[1]TEmplate!$M$54:$O$65,2,0)</f>
        <v>Doncaster Hockey Club</v>
      </c>
      <c r="F570" t="s">
        <v>5</v>
      </c>
      <c r="G570">
        <v>2</v>
      </c>
      <c r="H570" t="str">
        <f>VLOOKUP(G570,[1]TEmplate!$M$54:$O$65,2,0)</f>
        <v>Camberwell Blue</v>
      </c>
      <c r="I570" t="str">
        <f>VLOOKUP(D570,[1]TEmplate!$M$54:$O$65,3,0)</f>
        <v>DON</v>
      </c>
      <c r="J570" s="4">
        <f>VLOOKUP(B570,[1]TEmplate!$AC$38:$AE$57,3,0)</f>
        <v>46204</v>
      </c>
    </row>
    <row r="571" spans="1:10" x14ac:dyDescent="0.3">
      <c r="A571" s="7" t="s">
        <v>17</v>
      </c>
      <c r="B571">
        <v>11</v>
      </c>
      <c r="C571">
        <v>6</v>
      </c>
      <c r="D571">
        <v>12</v>
      </c>
      <c r="E571" t="str">
        <f>VLOOKUP(D571,[1]TEmplate!$M$54:$O$65,2,0)</f>
        <v>KBH Brumbies Hockey Club</v>
      </c>
      <c r="F571" t="s">
        <v>5</v>
      </c>
      <c r="G571">
        <v>1</v>
      </c>
      <c r="H571" t="str">
        <f>VLOOKUP(G571,[1]TEmplate!$M$54:$O$65,2,0)</f>
        <v>Hawthorn Hockey Club</v>
      </c>
      <c r="I571" t="str">
        <f>VLOOKUP(D571,[1]TEmplate!$M$54:$O$65,3,0)</f>
        <v>ELG</v>
      </c>
      <c r="J571" s="4">
        <f>VLOOKUP(B571,[1]TEmplate!$AC$38:$AE$57,3,0)</f>
        <v>46204</v>
      </c>
    </row>
    <row r="572" spans="1:10" x14ac:dyDescent="0.3">
      <c r="A572" s="7" t="s">
        <v>17</v>
      </c>
      <c r="B572">
        <v>12</v>
      </c>
      <c r="C572">
        <v>1</v>
      </c>
      <c r="D572">
        <v>1</v>
      </c>
      <c r="E572" t="str">
        <f>VLOOKUP(D572,[1]TEmplate!$M$54:$O$65,2,0)</f>
        <v>Hawthorn Hockey Club</v>
      </c>
      <c r="F572" t="s">
        <v>5</v>
      </c>
      <c r="G572">
        <v>2</v>
      </c>
      <c r="H572" t="str">
        <f>VLOOKUP(G572,[1]TEmplate!$M$54:$O$65,2,0)</f>
        <v>Camberwell Blue</v>
      </c>
      <c r="I572" t="str">
        <f>VLOOKUP(D572,[1]TEmplate!$M$54:$O$65,3,0)</f>
        <v>HAW</v>
      </c>
      <c r="J572" s="4">
        <f>VLOOKUP(B572,[1]TEmplate!$AC$38:$AE$57,3,0)</f>
        <v>46218</v>
      </c>
    </row>
    <row r="573" spans="1:10" x14ac:dyDescent="0.3">
      <c r="A573" s="7" t="s">
        <v>17</v>
      </c>
      <c r="B573">
        <v>12</v>
      </c>
      <c r="C573">
        <v>2</v>
      </c>
      <c r="D573">
        <v>11</v>
      </c>
      <c r="E573" t="str">
        <f>VLOOKUP(D573,[1]TEmplate!$M$54:$O$65,2,0)</f>
        <v>Doncaster Hockey Club</v>
      </c>
      <c r="F573" t="s">
        <v>5</v>
      </c>
      <c r="G573">
        <v>3</v>
      </c>
      <c r="H573" t="str">
        <f>VLOOKUP(G573,[1]TEmplate!$M$54:$O$65,2,0)</f>
        <v>Yarra Hockey Club</v>
      </c>
      <c r="I573" t="str">
        <f>VLOOKUP(D573,[1]TEmplate!$M$54:$O$65,3,0)</f>
        <v>DON</v>
      </c>
      <c r="J573" s="4">
        <f>VLOOKUP(B573,[1]TEmplate!$AC$38:$AE$57,3,0)</f>
        <v>46218</v>
      </c>
    </row>
    <row r="574" spans="1:10" x14ac:dyDescent="0.3">
      <c r="A574" s="7" t="s">
        <v>17</v>
      </c>
      <c r="B574">
        <v>12</v>
      </c>
      <c r="C574">
        <v>3</v>
      </c>
      <c r="D574">
        <v>10</v>
      </c>
      <c r="E574" t="str">
        <f>VLOOKUP(D574,[1]TEmplate!$M$54:$O$65,2,0)</f>
        <v>MCC Hockey Section</v>
      </c>
      <c r="F574" t="s">
        <v>5</v>
      </c>
      <c r="G574">
        <v>4</v>
      </c>
      <c r="H574" t="str">
        <f>VLOOKUP(G574,[1]TEmplate!$M$54:$O$65,2,0)</f>
        <v>Camberwell Tangerine</v>
      </c>
      <c r="I574" t="str">
        <f>VLOOKUP(D574,[1]TEmplate!$M$54:$O$65,3,0)</f>
        <v>ELW</v>
      </c>
      <c r="J574" s="4">
        <f>VLOOKUP(B574,[1]TEmplate!$AC$38:$AE$57,3,0)</f>
        <v>46218</v>
      </c>
    </row>
    <row r="575" spans="1:10" x14ac:dyDescent="0.3">
      <c r="A575" s="7" t="s">
        <v>17</v>
      </c>
      <c r="B575">
        <v>12</v>
      </c>
      <c r="C575">
        <v>4</v>
      </c>
      <c r="D575">
        <v>9</v>
      </c>
      <c r="E575" t="str">
        <f>VLOOKUP(D575,[1]TEmplate!$M$54:$O$65,2,0)</f>
        <v>Southern C</v>
      </c>
      <c r="F575" t="s">
        <v>5</v>
      </c>
      <c r="G575">
        <v>5</v>
      </c>
      <c r="H575" t="str">
        <f>VLOOKUP(G575,[1]TEmplate!$M$54:$O$65,2,0)</f>
        <v>Hockey Geelong</v>
      </c>
      <c r="I575" t="str">
        <f>VLOOKUP(D575,[1]TEmplate!$M$54:$O$65,3,0)</f>
        <v>DAN</v>
      </c>
      <c r="J575" s="4">
        <f>VLOOKUP(B575,[1]TEmplate!$AC$38:$AE$57,3,0)</f>
        <v>46218</v>
      </c>
    </row>
    <row r="576" spans="1:10" x14ac:dyDescent="0.3">
      <c r="A576" s="7" t="s">
        <v>17</v>
      </c>
      <c r="B576">
        <v>12</v>
      </c>
      <c r="C576">
        <v>5</v>
      </c>
      <c r="D576">
        <v>8</v>
      </c>
      <c r="E576" t="str">
        <f>VLOOKUP(D576,[1]TEmplate!$M$54:$O$65,2,0)</f>
        <v>MHSOB</v>
      </c>
      <c r="F576" t="s">
        <v>5</v>
      </c>
      <c r="G576">
        <v>6</v>
      </c>
      <c r="H576" t="str">
        <f>VLOOKUP(G576,[1]TEmplate!$M$54:$O$65,2,0)</f>
        <v>Knox Hockey Club</v>
      </c>
      <c r="I576" t="str">
        <f>VLOOKUP(D576,[1]TEmplate!$M$54:$O$65,3,0)</f>
        <v>APK</v>
      </c>
      <c r="J576" s="4">
        <f>VLOOKUP(B576,[1]TEmplate!$AC$38:$AE$57,3,0)</f>
        <v>46218</v>
      </c>
    </row>
    <row r="577" spans="1:10" x14ac:dyDescent="0.3">
      <c r="A577" s="7" t="s">
        <v>17</v>
      </c>
      <c r="B577">
        <v>12</v>
      </c>
      <c r="C577">
        <v>6</v>
      </c>
      <c r="D577">
        <v>12</v>
      </c>
      <c r="E577" t="str">
        <f>VLOOKUP(D577,[1]TEmplate!$M$54:$O$65,2,0)</f>
        <v>KBH Brumbies Hockey Club</v>
      </c>
      <c r="F577" t="s">
        <v>5</v>
      </c>
      <c r="G577">
        <v>7</v>
      </c>
      <c r="H577" t="str">
        <f>VLOOKUP(G577,[1]TEmplate!$M$54:$O$65,2,0)</f>
        <v>Footscray Blue</v>
      </c>
      <c r="I577" t="str">
        <f>VLOOKUP(D577,[1]TEmplate!$M$54:$O$65,3,0)</f>
        <v>ELG</v>
      </c>
      <c r="J577" s="4">
        <f>VLOOKUP(B577,[1]TEmplate!$AC$38:$AE$57,3,0)</f>
        <v>46218</v>
      </c>
    </row>
    <row r="578" spans="1:10" x14ac:dyDescent="0.3">
      <c r="A578" s="7" t="s">
        <v>17</v>
      </c>
      <c r="B578">
        <v>13</v>
      </c>
      <c r="C578">
        <v>1</v>
      </c>
      <c r="D578">
        <v>7</v>
      </c>
      <c r="E578" t="str">
        <f>VLOOKUP(D578,[1]TEmplate!$M$54:$O$65,2,0)</f>
        <v>Footscray Blue</v>
      </c>
      <c r="F578" t="s">
        <v>5</v>
      </c>
      <c r="G578">
        <v>8</v>
      </c>
      <c r="H578" t="str">
        <f>VLOOKUP(G578,[1]TEmplate!$M$54:$O$65,2,0)</f>
        <v>MHSOB</v>
      </c>
      <c r="I578" t="str">
        <f>VLOOKUP(D578,[1]TEmplate!$M$54:$O$65,3,0)</f>
        <v>FHC</v>
      </c>
      <c r="J578" s="4">
        <f>VLOOKUP(B578,[1]TEmplate!$AC$38:$AE$57,3,0)</f>
        <v>46225</v>
      </c>
    </row>
    <row r="579" spans="1:10" x14ac:dyDescent="0.3">
      <c r="A579" s="7" t="s">
        <v>17</v>
      </c>
      <c r="B579">
        <v>13</v>
      </c>
      <c r="C579">
        <v>2</v>
      </c>
      <c r="D579">
        <v>6</v>
      </c>
      <c r="E579" t="str">
        <f>VLOOKUP(D579,[1]TEmplate!$M$54:$O$65,2,0)</f>
        <v>Knox Hockey Club</v>
      </c>
      <c r="F579" t="s">
        <v>5</v>
      </c>
      <c r="G579">
        <v>9</v>
      </c>
      <c r="H579" t="str">
        <f>VLOOKUP(G579,[1]TEmplate!$M$54:$O$65,2,0)</f>
        <v>Southern C</v>
      </c>
      <c r="I579" t="str">
        <f>VLOOKUP(D579,[1]TEmplate!$M$54:$O$65,3,0)</f>
        <v>KNX</v>
      </c>
      <c r="J579" s="4">
        <f>VLOOKUP(B579,[1]TEmplate!$AC$38:$AE$57,3,0)</f>
        <v>46225</v>
      </c>
    </row>
    <row r="580" spans="1:10" x14ac:dyDescent="0.3">
      <c r="A580" s="7" t="s">
        <v>17</v>
      </c>
      <c r="B580">
        <v>13</v>
      </c>
      <c r="C580">
        <v>3</v>
      </c>
      <c r="D580">
        <v>5</v>
      </c>
      <c r="E580" t="str">
        <f>VLOOKUP(D580,[1]TEmplate!$M$54:$O$65,2,0)</f>
        <v>Hockey Geelong</v>
      </c>
      <c r="F580" t="s">
        <v>5</v>
      </c>
      <c r="G580">
        <v>10</v>
      </c>
      <c r="H580" t="str">
        <f>VLOOKUP(G580,[1]TEmplate!$M$54:$O$65,2,0)</f>
        <v>MCC Hockey Section</v>
      </c>
      <c r="I580" t="str">
        <f>VLOOKUP(D580,[1]TEmplate!$M$54:$O$65,3,0)</f>
        <v>GEL</v>
      </c>
      <c r="J580" s="4">
        <f>VLOOKUP(B580,[1]TEmplate!$AC$38:$AE$57,3,0)</f>
        <v>46225</v>
      </c>
    </row>
    <row r="581" spans="1:10" x14ac:dyDescent="0.3">
      <c r="A581" s="7" t="s">
        <v>17</v>
      </c>
      <c r="B581">
        <v>13</v>
      </c>
      <c r="C581">
        <v>4</v>
      </c>
      <c r="D581">
        <v>4</v>
      </c>
      <c r="E581" t="str">
        <f>VLOOKUP(D581,[1]TEmplate!$M$54:$O$65,2,0)</f>
        <v>Camberwell Tangerine</v>
      </c>
      <c r="F581" t="s">
        <v>5</v>
      </c>
      <c r="G581">
        <v>11</v>
      </c>
      <c r="H581" t="str">
        <f>VLOOKUP(G581,[1]TEmplate!$M$54:$O$65,2,0)</f>
        <v>Doncaster Hockey Club</v>
      </c>
      <c r="I581" t="str">
        <f>VLOOKUP(D581,[1]TEmplate!$M$54:$O$65,3,0)</f>
        <v>CAM</v>
      </c>
      <c r="J581" s="4">
        <f>VLOOKUP(B581,[1]TEmplate!$AC$38:$AE$57,3,0)</f>
        <v>46225</v>
      </c>
    </row>
    <row r="582" spans="1:10" x14ac:dyDescent="0.3">
      <c r="A582" s="7" t="s">
        <v>17</v>
      </c>
      <c r="B582">
        <v>13</v>
      </c>
      <c r="C582">
        <v>5</v>
      </c>
      <c r="D582">
        <v>2</v>
      </c>
      <c r="E582" t="str">
        <f>VLOOKUP(D582,[1]TEmplate!$M$54:$O$65,2,0)</f>
        <v>Camberwell Blue</v>
      </c>
      <c r="F582" t="s">
        <v>5</v>
      </c>
      <c r="G582">
        <v>12</v>
      </c>
      <c r="H582" t="str">
        <f>VLOOKUP(G582,[1]TEmplate!$M$54:$O$65,2,0)</f>
        <v>KBH Brumbies Hockey Club</v>
      </c>
      <c r="J582" s="4">
        <f>VLOOKUP(B582,[1]TEmplate!$AC$38:$AE$57,3,0)</f>
        <v>46225</v>
      </c>
    </row>
    <row r="583" spans="1:10" x14ac:dyDescent="0.3">
      <c r="A583" s="7" t="s">
        <v>17</v>
      </c>
      <c r="B583">
        <v>13</v>
      </c>
      <c r="C583">
        <v>6</v>
      </c>
      <c r="D583">
        <v>3</v>
      </c>
      <c r="E583" t="str">
        <f>VLOOKUP(D583,[1]TEmplate!$M$54:$O$65,2,0)</f>
        <v>Yarra Hockey Club</v>
      </c>
      <c r="F583" t="s">
        <v>5</v>
      </c>
      <c r="G583">
        <v>1</v>
      </c>
      <c r="H583" t="str">
        <f>VLOOKUP(G583,[1]TEmplate!$M$54:$O$65,2,0)</f>
        <v>Hawthorn Hockey Club</v>
      </c>
      <c r="I583" t="str">
        <f>VLOOKUP(D583,[1]TEmplate!$M$54:$O$65,3,0)</f>
        <v>YAR</v>
      </c>
      <c r="J583" s="4">
        <f>VLOOKUP(B583,[1]TEmplate!$AC$38:$AE$57,3,0)</f>
        <v>46225</v>
      </c>
    </row>
    <row r="584" spans="1:10" x14ac:dyDescent="0.3">
      <c r="A584" s="7" t="s">
        <v>17</v>
      </c>
      <c r="B584">
        <v>14</v>
      </c>
      <c r="C584">
        <v>1</v>
      </c>
      <c r="D584">
        <v>2</v>
      </c>
      <c r="E584" t="str">
        <f>VLOOKUP(D584,[1]TEmplate!$M$54:$O$65,2,0)</f>
        <v>Camberwell Blue</v>
      </c>
      <c r="F584" t="s">
        <v>5</v>
      </c>
      <c r="G584">
        <v>3</v>
      </c>
      <c r="H584" t="str">
        <f>VLOOKUP(G584,[1]TEmplate!$M$54:$O$65,2,0)</f>
        <v>Yarra Hockey Club</v>
      </c>
      <c r="J584" s="4">
        <f>VLOOKUP(B584,[1]TEmplate!$AC$38:$AE$57,3,0)</f>
        <v>46232</v>
      </c>
    </row>
    <row r="585" spans="1:10" x14ac:dyDescent="0.3">
      <c r="A585" s="7" t="s">
        <v>17</v>
      </c>
      <c r="B585">
        <v>14</v>
      </c>
      <c r="C585">
        <v>2</v>
      </c>
      <c r="D585">
        <v>1</v>
      </c>
      <c r="E585" t="str">
        <f>VLOOKUP(D585,[1]TEmplate!$M$54:$O$65,2,0)</f>
        <v>Hawthorn Hockey Club</v>
      </c>
      <c r="F585" t="s">
        <v>5</v>
      </c>
      <c r="G585">
        <v>4</v>
      </c>
      <c r="H585" t="str">
        <f>VLOOKUP(G585,[1]TEmplate!$M$54:$O$65,2,0)</f>
        <v>Camberwell Tangerine</v>
      </c>
      <c r="I585" t="str">
        <f>VLOOKUP(D585,[1]TEmplate!$M$54:$O$65,3,0)</f>
        <v>HAW</v>
      </c>
      <c r="J585" s="4">
        <f>VLOOKUP(B585,[1]TEmplate!$AC$38:$AE$57,3,0)</f>
        <v>46232</v>
      </c>
    </row>
    <row r="586" spans="1:10" x14ac:dyDescent="0.3">
      <c r="A586" s="7" t="s">
        <v>17</v>
      </c>
      <c r="B586">
        <v>14</v>
      </c>
      <c r="C586">
        <v>3</v>
      </c>
      <c r="D586">
        <v>11</v>
      </c>
      <c r="E586" t="str">
        <f>VLOOKUP(D586,[1]TEmplate!$M$54:$O$65,2,0)</f>
        <v>Doncaster Hockey Club</v>
      </c>
      <c r="F586" t="s">
        <v>5</v>
      </c>
      <c r="G586">
        <v>5</v>
      </c>
      <c r="H586" t="str">
        <f>VLOOKUP(G586,[1]TEmplate!$M$54:$O$65,2,0)</f>
        <v>Hockey Geelong</v>
      </c>
      <c r="I586" t="str">
        <f>VLOOKUP(D586,[1]TEmplate!$M$54:$O$65,3,0)</f>
        <v>DON</v>
      </c>
      <c r="J586" s="4">
        <f>VLOOKUP(B586,[1]TEmplate!$AC$38:$AE$57,3,0)</f>
        <v>46232</v>
      </c>
    </row>
    <row r="587" spans="1:10" x14ac:dyDescent="0.3">
      <c r="A587" s="7" t="s">
        <v>17</v>
      </c>
      <c r="B587">
        <v>14</v>
      </c>
      <c r="C587">
        <v>4</v>
      </c>
      <c r="D587">
        <v>10</v>
      </c>
      <c r="E587" t="str">
        <f>VLOOKUP(D587,[1]TEmplate!$M$54:$O$65,2,0)</f>
        <v>MCC Hockey Section</v>
      </c>
      <c r="F587" t="s">
        <v>5</v>
      </c>
      <c r="G587">
        <v>6</v>
      </c>
      <c r="H587" t="str">
        <f>VLOOKUP(G587,[1]TEmplate!$M$54:$O$65,2,0)</f>
        <v>Knox Hockey Club</v>
      </c>
      <c r="I587" t="str">
        <f>VLOOKUP(D587,[1]TEmplate!$M$54:$O$65,3,0)</f>
        <v>ELW</v>
      </c>
      <c r="J587" s="4">
        <f>VLOOKUP(B587,[1]TEmplate!$AC$38:$AE$57,3,0)</f>
        <v>46232</v>
      </c>
    </row>
    <row r="588" spans="1:10" x14ac:dyDescent="0.3">
      <c r="A588" s="7" t="s">
        <v>17</v>
      </c>
      <c r="B588">
        <v>14</v>
      </c>
      <c r="C588">
        <v>5</v>
      </c>
      <c r="D588">
        <v>9</v>
      </c>
      <c r="E588" t="str">
        <f>VLOOKUP(D588,[1]TEmplate!$M$54:$O$65,2,0)</f>
        <v>Southern C</v>
      </c>
      <c r="F588" t="s">
        <v>5</v>
      </c>
      <c r="G588">
        <v>7</v>
      </c>
      <c r="H588" t="str">
        <f>VLOOKUP(G588,[1]TEmplate!$M$54:$O$65,2,0)</f>
        <v>Footscray Blue</v>
      </c>
      <c r="I588" t="str">
        <f>VLOOKUP(D588,[1]TEmplate!$M$54:$O$65,3,0)</f>
        <v>DAN</v>
      </c>
      <c r="J588" s="4">
        <f>VLOOKUP(B588,[1]TEmplate!$AC$38:$AE$57,3,0)</f>
        <v>46232</v>
      </c>
    </row>
    <row r="589" spans="1:10" x14ac:dyDescent="0.3">
      <c r="A589" s="7" t="s">
        <v>17</v>
      </c>
      <c r="B589">
        <v>14</v>
      </c>
      <c r="C589">
        <v>6</v>
      </c>
      <c r="D589">
        <v>12</v>
      </c>
      <c r="E589" t="str">
        <f>VLOOKUP(D589,[1]TEmplate!$M$54:$O$65,2,0)</f>
        <v>KBH Brumbies Hockey Club</v>
      </c>
      <c r="F589" t="s">
        <v>5</v>
      </c>
      <c r="G589">
        <v>8</v>
      </c>
      <c r="H589" t="str">
        <f>VLOOKUP(G589,[1]TEmplate!$M$54:$O$65,2,0)</f>
        <v>MHSOB</v>
      </c>
      <c r="I589" t="str">
        <f>VLOOKUP(D589,[1]TEmplate!$M$54:$O$65,3,0)</f>
        <v>ELG</v>
      </c>
      <c r="J589" s="4">
        <f>VLOOKUP(B589,[1]TEmplate!$AC$38:$AE$57,3,0)</f>
        <v>46232</v>
      </c>
    </row>
    <row r="590" spans="1:10" x14ac:dyDescent="0.3">
      <c r="A590" s="7" t="s">
        <v>17</v>
      </c>
      <c r="B590">
        <v>15</v>
      </c>
      <c r="C590">
        <v>1</v>
      </c>
      <c r="D590">
        <v>8</v>
      </c>
      <c r="E590" t="str">
        <f>VLOOKUP(D590,[1]TEmplate!$M$54:$O$65,2,0)</f>
        <v>MHSOB</v>
      </c>
      <c r="F590" t="s">
        <v>5</v>
      </c>
      <c r="G590">
        <v>9</v>
      </c>
      <c r="H590" t="str">
        <f>VLOOKUP(G590,[1]TEmplate!$M$54:$O$65,2,0)</f>
        <v>Southern C</v>
      </c>
      <c r="I590" t="str">
        <f>VLOOKUP(D590,[1]TEmplate!$M$54:$O$65,3,0)</f>
        <v>APK</v>
      </c>
      <c r="J590" s="4">
        <f>VLOOKUP(B590,[1]TEmplate!$AC$38:$AE$57,3,0)</f>
        <v>46239</v>
      </c>
    </row>
    <row r="591" spans="1:10" x14ac:dyDescent="0.3">
      <c r="A591" s="7" t="s">
        <v>17</v>
      </c>
      <c r="B591">
        <v>15</v>
      </c>
      <c r="C591">
        <v>2</v>
      </c>
      <c r="D591">
        <v>7</v>
      </c>
      <c r="E591" t="str">
        <f>VLOOKUP(D591,[1]TEmplate!$M$54:$O$65,2,0)</f>
        <v>Footscray Blue</v>
      </c>
      <c r="F591" t="s">
        <v>5</v>
      </c>
      <c r="G591">
        <v>10</v>
      </c>
      <c r="H591" t="str">
        <f>VLOOKUP(G591,[1]TEmplate!$M$54:$O$65,2,0)</f>
        <v>MCC Hockey Section</v>
      </c>
      <c r="I591" t="str">
        <f>VLOOKUP(D591,[1]TEmplate!$M$54:$O$65,3,0)</f>
        <v>FHC</v>
      </c>
      <c r="J591" s="4">
        <f>VLOOKUP(B591,[1]TEmplate!$AC$38:$AE$57,3,0)</f>
        <v>46239</v>
      </c>
    </row>
    <row r="592" spans="1:10" x14ac:dyDescent="0.3">
      <c r="A592" s="7" t="s">
        <v>17</v>
      </c>
      <c r="B592">
        <v>15</v>
      </c>
      <c r="C592">
        <v>3</v>
      </c>
      <c r="D592">
        <v>6</v>
      </c>
      <c r="E592" t="str">
        <f>VLOOKUP(D592,[1]TEmplate!$M$54:$O$65,2,0)</f>
        <v>Knox Hockey Club</v>
      </c>
      <c r="F592" t="s">
        <v>5</v>
      </c>
      <c r="G592">
        <v>11</v>
      </c>
      <c r="H592" t="str">
        <f>VLOOKUP(G592,[1]TEmplate!$M$54:$O$65,2,0)</f>
        <v>Doncaster Hockey Club</v>
      </c>
      <c r="I592" t="str">
        <f>VLOOKUP(D592,[1]TEmplate!$M$54:$O$65,3,0)</f>
        <v>KNX</v>
      </c>
      <c r="J592" s="4">
        <f>VLOOKUP(B592,[1]TEmplate!$AC$38:$AE$57,3,0)</f>
        <v>46239</v>
      </c>
    </row>
    <row r="593" spans="1:10" x14ac:dyDescent="0.3">
      <c r="A593" s="7" t="s">
        <v>17</v>
      </c>
      <c r="B593">
        <v>15</v>
      </c>
      <c r="C593">
        <v>4</v>
      </c>
      <c r="D593">
        <v>3</v>
      </c>
      <c r="E593" t="str">
        <f>VLOOKUP(D593,[1]TEmplate!$M$54:$O$65,2,0)</f>
        <v>Yarra Hockey Club</v>
      </c>
      <c r="F593" t="s">
        <v>5</v>
      </c>
      <c r="G593">
        <v>12</v>
      </c>
      <c r="H593" t="str">
        <f>VLOOKUP(G593,[1]TEmplate!$M$54:$O$65,2,0)</f>
        <v>KBH Brumbies Hockey Club</v>
      </c>
      <c r="I593" t="str">
        <f>VLOOKUP(D593,[1]TEmplate!$M$54:$O$65,3,0)</f>
        <v>YAR</v>
      </c>
      <c r="J593" s="4">
        <f>VLOOKUP(B593,[1]TEmplate!$AC$38:$AE$57,3,0)</f>
        <v>46239</v>
      </c>
    </row>
    <row r="594" spans="1:10" x14ac:dyDescent="0.3">
      <c r="A594" s="7" t="s">
        <v>17</v>
      </c>
      <c r="B594">
        <v>15</v>
      </c>
      <c r="C594">
        <v>5</v>
      </c>
      <c r="D594">
        <v>5</v>
      </c>
      <c r="E594" t="str">
        <f>VLOOKUP(D594,[1]TEmplate!$M$54:$O$65,2,0)</f>
        <v>Hockey Geelong</v>
      </c>
      <c r="F594" t="s">
        <v>5</v>
      </c>
      <c r="G594">
        <v>1</v>
      </c>
      <c r="H594" t="str">
        <f>VLOOKUP(G594,[1]TEmplate!$M$54:$O$65,2,0)</f>
        <v>Hawthorn Hockey Club</v>
      </c>
      <c r="I594" t="str">
        <f>VLOOKUP(D594,[1]TEmplate!$M$54:$O$65,3,0)</f>
        <v>GEL</v>
      </c>
      <c r="J594" s="4">
        <f>VLOOKUP(B594,[1]TEmplate!$AC$38:$AE$57,3,0)</f>
        <v>46239</v>
      </c>
    </row>
    <row r="595" spans="1:10" x14ac:dyDescent="0.3">
      <c r="A595" s="7" t="s">
        <v>17</v>
      </c>
      <c r="B595">
        <v>15</v>
      </c>
      <c r="C595">
        <v>6</v>
      </c>
      <c r="D595">
        <v>4</v>
      </c>
      <c r="E595" t="str">
        <f>VLOOKUP(D595,[1]TEmplate!$M$54:$O$65,2,0)</f>
        <v>Camberwell Tangerine</v>
      </c>
      <c r="F595" t="s">
        <v>5</v>
      </c>
      <c r="G595">
        <v>2</v>
      </c>
      <c r="H595" t="str">
        <f>VLOOKUP(G595,[1]TEmplate!$M$54:$O$65,2,0)</f>
        <v>Camberwell Blue</v>
      </c>
      <c r="I595" t="str">
        <f>VLOOKUP(D595,[1]TEmplate!$M$54:$O$65,3,0)</f>
        <v>CAM</v>
      </c>
      <c r="J595" s="4">
        <f>VLOOKUP(B595,[1]TEmplate!$AC$38:$AE$57,3,0)</f>
        <v>46239</v>
      </c>
    </row>
    <row r="596" spans="1:10" x14ac:dyDescent="0.3">
      <c r="A596" s="7" t="s">
        <v>17</v>
      </c>
      <c r="B596">
        <v>16</v>
      </c>
      <c r="C596">
        <v>1</v>
      </c>
      <c r="D596">
        <v>3</v>
      </c>
      <c r="E596" t="str">
        <f>VLOOKUP(D596,[1]TEmplate!$M$54:$O$65,2,0)</f>
        <v>Yarra Hockey Club</v>
      </c>
      <c r="F596" t="s">
        <v>5</v>
      </c>
      <c r="G596">
        <v>4</v>
      </c>
      <c r="H596" t="str">
        <f>VLOOKUP(G596,[1]TEmplate!$M$54:$O$65,2,0)</f>
        <v>Camberwell Tangerine</v>
      </c>
      <c r="I596" t="str">
        <f>VLOOKUP(D596,[1]TEmplate!$M$54:$O$65,3,0)</f>
        <v>YAR</v>
      </c>
      <c r="J596" s="4">
        <f>VLOOKUP(B596,[1]TEmplate!$AC$38:$AE$57,3,0)</f>
        <v>46246</v>
      </c>
    </row>
    <row r="597" spans="1:10" x14ac:dyDescent="0.3">
      <c r="A597" s="7" t="s">
        <v>17</v>
      </c>
      <c r="B597">
        <v>16</v>
      </c>
      <c r="C597">
        <v>2</v>
      </c>
      <c r="D597">
        <v>2</v>
      </c>
      <c r="E597" t="str">
        <f>VLOOKUP(D597,[1]TEmplate!$M$54:$O$65,2,0)</f>
        <v>Camberwell Blue</v>
      </c>
      <c r="F597" t="s">
        <v>5</v>
      </c>
      <c r="G597">
        <v>5</v>
      </c>
      <c r="H597" t="str">
        <f>VLOOKUP(G597,[1]TEmplate!$M$54:$O$65,2,0)</f>
        <v>Hockey Geelong</v>
      </c>
      <c r="J597" s="4">
        <f>VLOOKUP(B597,[1]TEmplate!$AC$38:$AE$57,3,0)</f>
        <v>46246</v>
      </c>
    </row>
    <row r="598" spans="1:10" x14ac:dyDescent="0.3">
      <c r="A598" s="7" t="s">
        <v>17</v>
      </c>
      <c r="B598">
        <v>16</v>
      </c>
      <c r="C598">
        <v>3</v>
      </c>
      <c r="D598">
        <v>1</v>
      </c>
      <c r="E598" t="str">
        <f>VLOOKUP(D598,[1]TEmplate!$M$54:$O$65,2,0)</f>
        <v>Hawthorn Hockey Club</v>
      </c>
      <c r="F598" t="s">
        <v>5</v>
      </c>
      <c r="G598">
        <v>6</v>
      </c>
      <c r="H598" t="str">
        <f>VLOOKUP(G598,[1]TEmplate!$M$54:$O$65,2,0)</f>
        <v>Knox Hockey Club</v>
      </c>
      <c r="I598" t="str">
        <f>VLOOKUP(D598,[1]TEmplate!$M$54:$O$65,3,0)</f>
        <v>HAW</v>
      </c>
      <c r="J598" s="4">
        <f>VLOOKUP(B598,[1]TEmplate!$AC$38:$AE$57,3,0)</f>
        <v>46246</v>
      </c>
    </row>
    <row r="599" spans="1:10" x14ac:dyDescent="0.3">
      <c r="A599" s="7" t="s">
        <v>17</v>
      </c>
      <c r="B599">
        <v>16</v>
      </c>
      <c r="C599">
        <v>4</v>
      </c>
      <c r="D599">
        <v>11</v>
      </c>
      <c r="E599" t="str">
        <f>VLOOKUP(D599,[1]TEmplate!$M$54:$O$65,2,0)</f>
        <v>Doncaster Hockey Club</v>
      </c>
      <c r="F599" t="s">
        <v>5</v>
      </c>
      <c r="G599">
        <v>7</v>
      </c>
      <c r="H599" t="str">
        <f>VLOOKUP(G599,[1]TEmplate!$M$54:$O$65,2,0)</f>
        <v>Footscray Blue</v>
      </c>
      <c r="I599" t="str">
        <f>VLOOKUP(D599,[1]TEmplate!$M$54:$O$65,3,0)</f>
        <v>DON</v>
      </c>
      <c r="J599" s="4">
        <f>VLOOKUP(B599,[1]TEmplate!$AC$38:$AE$57,3,0)</f>
        <v>46246</v>
      </c>
    </row>
    <row r="600" spans="1:10" x14ac:dyDescent="0.3">
      <c r="A600" s="7" t="s">
        <v>17</v>
      </c>
      <c r="B600">
        <v>16</v>
      </c>
      <c r="C600">
        <v>5</v>
      </c>
      <c r="D600">
        <v>10</v>
      </c>
      <c r="E600" t="str">
        <f>VLOOKUP(D600,[1]TEmplate!$M$54:$O$65,2,0)</f>
        <v>MCC Hockey Section</v>
      </c>
      <c r="F600" t="s">
        <v>5</v>
      </c>
      <c r="G600">
        <v>8</v>
      </c>
      <c r="H600" t="str">
        <f>VLOOKUP(G600,[1]TEmplate!$M$54:$O$65,2,0)</f>
        <v>MHSOB</v>
      </c>
      <c r="I600" t="str">
        <f>VLOOKUP(D600,[1]TEmplate!$M$54:$O$65,3,0)</f>
        <v>ELW</v>
      </c>
      <c r="J600" s="4">
        <f>VLOOKUP(B600,[1]TEmplate!$AC$38:$AE$57,3,0)</f>
        <v>46246</v>
      </c>
    </row>
    <row r="601" spans="1:10" x14ac:dyDescent="0.3">
      <c r="A601" s="7" t="s">
        <v>17</v>
      </c>
      <c r="B601">
        <v>16</v>
      </c>
      <c r="C601">
        <v>6</v>
      </c>
      <c r="D601">
        <v>12</v>
      </c>
      <c r="E601" t="str">
        <f>VLOOKUP(D601,[1]TEmplate!$M$54:$O$65,2,0)</f>
        <v>KBH Brumbies Hockey Club</v>
      </c>
      <c r="F601" t="s">
        <v>5</v>
      </c>
      <c r="G601">
        <v>9</v>
      </c>
      <c r="H601" t="str">
        <f>VLOOKUP(G601,[1]TEmplate!$M$54:$O$65,2,0)</f>
        <v>Southern C</v>
      </c>
      <c r="I601" t="str">
        <f>VLOOKUP(D601,[1]TEmplate!$M$54:$O$65,3,0)</f>
        <v>ELG</v>
      </c>
      <c r="J601" s="4">
        <f>VLOOKUP(B601,[1]TEmplate!$AC$38:$AE$57,3,0)</f>
        <v>46246</v>
      </c>
    </row>
    <row r="602" spans="1:10" x14ac:dyDescent="0.3">
      <c r="A602" s="7" t="s">
        <v>17</v>
      </c>
      <c r="B602">
        <v>17</v>
      </c>
      <c r="C602">
        <v>1</v>
      </c>
      <c r="D602">
        <v>9</v>
      </c>
      <c r="E602" t="str">
        <f>VLOOKUP(D602,[1]TEmplate!$M$54:$O$65,2,0)</f>
        <v>Southern C</v>
      </c>
      <c r="F602" t="s">
        <v>5</v>
      </c>
      <c r="G602">
        <v>10</v>
      </c>
      <c r="H602" t="str">
        <f>VLOOKUP(G602,[1]TEmplate!$M$54:$O$65,2,0)</f>
        <v>MCC Hockey Section</v>
      </c>
      <c r="I602" t="str">
        <f>VLOOKUP(D602,[1]TEmplate!$M$54:$O$65,3,0)</f>
        <v>DAN</v>
      </c>
      <c r="J602" s="4">
        <f>VLOOKUP(B602,[1]TEmplate!$AC$38:$AE$57,3,0)</f>
        <v>46253</v>
      </c>
    </row>
    <row r="603" spans="1:10" x14ac:dyDescent="0.3">
      <c r="A603" s="7" t="s">
        <v>17</v>
      </c>
      <c r="B603">
        <v>17</v>
      </c>
      <c r="C603">
        <v>2</v>
      </c>
      <c r="D603">
        <v>8</v>
      </c>
      <c r="E603" t="str">
        <f>VLOOKUP(D603,[1]TEmplate!$M$54:$O$65,2,0)</f>
        <v>MHSOB</v>
      </c>
      <c r="F603" t="s">
        <v>5</v>
      </c>
      <c r="G603">
        <v>11</v>
      </c>
      <c r="H603" t="str">
        <f>VLOOKUP(G603,[1]TEmplate!$M$54:$O$65,2,0)</f>
        <v>Doncaster Hockey Club</v>
      </c>
      <c r="I603" t="str">
        <f>VLOOKUP(D603,[1]TEmplate!$M$54:$O$65,3,0)</f>
        <v>APK</v>
      </c>
      <c r="J603" s="4">
        <f>VLOOKUP(B603,[1]TEmplate!$AC$38:$AE$57,3,0)</f>
        <v>46253</v>
      </c>
    </row>
    <row r="604" spans="1:10" x14ac:dyDescent="0.3">
      <c r="A604" s="7" t="s">
        <v>17</v>
      </c>
      <c r="B604">
        <v>17</v>
      </c>
      <c r="C604">
        <v>3</v>
      </c>
      <c r="D604">
        <v>4</v>
      </c>
      <c r="E604" t="str">
        <f>VLOOKUP(D604,[1]TEmplate!$M$54:$O$65,2,0)</f>
        <v>Camberwell Tangerine</v>
      </c>
      <c r="F604" t="s">
        <v>5</v>
      </c>
      <c r="G604">
        <v>12</v>
      </c>
      <c r="H604" t="str">
        <f>VLOOKUP(G604,[1]TEmplate!$M$54:$O$65,2,0)</f>
        <v>KBH Brumbies Hockey Club</v>
      </c>
      <c r="I604" t="str">
        <f>VLOOKUP(D604,[1]TEmplate!$M$54:$O$65,3,0)</f>
        <v>CAM</v>
      </c>
      <c r="J604" s="4">
        <f>VLOOKUP(B604,[1]TEmplate!$AC$38:$AE$57,3,0)</f>
        <v>46253</v>
      </c>
    </row>
    <row r="605" spans="1:10" x14ac:dyDescent="0.3">
      <c r="A605" s="7" t="s">
        <v>17</v>
      </c>
      <c r="B605">
        <v>17</v>
      </c>
      <c r="C605">
        <v>4</v>
      </c>
      <c r="D605">
        <v>7</v>
      </c>
      <c r="E605" t="str">
        <f>VLOOKUP(D605,[1]TEmplate!$M$54:$O$65,2,0)</f>
        <v>Footscray Blue</v>
      </c>
      <c r="F605" t="s">
        <v>5</v>
      </c>
      <c r="G605">
        <v>1</v>
      </c>
      <c r="H605" t="str">
        <f>VLOOKUP(G605,[1]TEmplate!$M$54:$O$65,2,0)</f>
        <v>Hawthorn Hockey Club</v>
      </c>
      <c r="I605" t="str">
        <f>VLOOKUP(D605,[1]TEmplate!$M$54:$O$65,3,0)</f>
        <v>FHC</v>
      </c>
      <c r="J605" s="4">
        <f>VLOOKUP(B605,[1]TEmplate!$AC$38:$AE$57,3,0)</f>
        <v>46253</v>
      </c>
    </row>
    <row r="606" spans="1:10" x14ac:dyDescent="0.3">
      <c r="A606" s="7" t="s">
        <v>17</v>
      </c>
      <c r="B606">
        <v>17</v>
      </c>
      <c r="C606">
        <v>5</v>
      </c>
      <c r="D606">
        <v>6</v>
      </c>
      <c r="E606" t="str">
        <f>VLOOKUP(D606,[1]TEmplate!$M$54:$O$65,2,0)</f>
        <v>Knox Hockey Club</v>
      </c>
      <c r="F606" t="s">
        <v>5</v>
      </c>
      <c r="G606">
        <v>2</v>
      </c>
      <c r="H606" t="str">
        <f>VLOOKUP(G606,[1]TEmplate!$M$54:$O$65,2,0)</f>
        <v>Camberwell Blue</v>
      </c>
      <c r="I606" t="str">
        <f>VLOOKUP(D606,[1]TEmplate!$M$54:$O$65,3,0)</f>
        <v>KNX</v>
      </c>
      <c r="J606" s="4">
        <f>VLOOKUP(B606,[1]TEmplate!$AC$38:$AE$57,3,0)</f>
        <v>46253</v>
      </c>
    </row>
    <row r="607" spans="1:10" x14ac:dyDescent="0.3">
      <c r="A607" s="7" t="s">
        <v>17</v>
      </c>
      <c r="B607">
        <v>17</v>
      </c>
      <c r="C607">
        <v>6</v>
      </c>
      <c r="D607">
        <v>5</v>
      </c>
      <c r="E607" t="str">
        <f>VLOOKUP(D607,[1]TEmplate!$M$54:$O$65,2,0)</f>
        <v>Hockey Geelong</v>
      </c>
      <c r="F607" t="s">
        <v>5</v>
      </c>
      <c r="G607">
        <v>3</v>
      </c>
      <c r="H607" t="str">
        <f>VLOOKUP(G607,[1]TEmplate!$M$54:$O$65,2,0)</f>
        <v>Yarra Hockey Club</v>
      </c>
      <c r="I607" t="str">
        <f>VLOOKUP(D607,[1]TEmplate!$M$54:$O$65,3,0)</f>
        <v>GEL</v>
      </c>
      <c r="J607" s="4">
        <f>VLOOKUP(B607,[1]TEmplate!$AC$38:$AE$57,3,0)</f>
        <v>46253</v>
      </c>
    </row>
    <row r="608" spans="1:10" x14ac:dyDescent="0.3">
      <c r="A608" s="7" t="s">
        <v>17</v>
      </c>
      <c r="B608">
        <v>18</v>
      </c>
      <c r="C608">
        <v>1</v>
      </c>
      <c r="D608">
        <v>4</v>
      </c>
      <c r="E608" t="str">
        <f>VLOOKUP(D608,[1]TEmplate!$M$54:$O$65,2,0)</f>
        <v>Camberwell Tangerine</v>
      </c>
      <c r="F608" t="s">
        <v>5</v>
      </c>
      <c r="G608">
        <v>5</v>
      </c>
      <c r="H608" t="str">
        <f>VLOOKUP(G608,[1]TEmplate!$M$54:$O$65,2,0)</f>
        <v>Hockey Geelong</v>
      </c>
      <c r="I608" t="str">
        <f>VLOOKUP(D608,[1]TEmplate!$M$54:$O$65,3,0)</f>
        <v>CAM</v>
      </c>
      <c r="J608" s="4">
        <f>VLOOKUP(B608,[1]TEmplate!$AC$38:$AE$57,3,0)</f>
        <v>46260</v>
      </c>
    </row>
    <row r="609" spans="1:10" x14ac:dyDescent="0.3">
      <c r="A609" s="7" t="s">
        <v>17</v>
      </c>
      <c r="B609">
        <v>18</v>
      </c>
      <c r="C609">
        <v>2</v>
      </c>
      <c r="D609">
        <v>3</v>
      </c>
      <c r="E609" t="str">
        <f>VLOOKUP(D609,[1]TEmplate!$M$54:$O$65,2,0)</f>
        <v>Yarra Hockey Club</v>
      </c>
      <c r="F609" t="s">
        <v>5</v>
      </c>
      <c r="G609">
        <v>6</v>
      </c>
      <c r="H609" t="str">
        <f>VLOOKUP(G609,[1]TEmplate!$M$54:$O$65,2,0)</f>
        <v>Knox Hockey Club</v>
      </c>
      <c r="I609" t="str">
        <f>VLOOKUP(D609,[1]TEmplate!$M$54:$O$65,3,0)</f>
        <v>YAR</v>
      </c>
      <c r="J609" s="4">
        <f>VLOOKUP(B609,[1]TEmplate!$AC$38:$AE$57,3,0)</f>
        <v>46260</v>
      </c>
    </row>
    <row r="610" spans="1:10" x14ac:dyDescent="0.3">
      <c r="A610" s="7" t="s">
        <v>17</v>
      </c>
      <c r="B610">
        <v>18</v>
      </c>
      <c r="C610">
        <v>3</v>
      </c>
      <c r="D610">
        <v>2</v>
      </c>
      <c r="E610" t="str">
        <f>VLOOKUP(D610,[1]TEmplate!$M$54:$O$65,2,0)</f>
        <v>Camberwell Blue</v>
      </c>
      <c r="F610" t="s">
        <v>5</v>
      </c>
      <c r="G610">
        <v>7</v>
      </c>
      <c r="H610" t="str">
        <f>VLOOKUP(G610,[1]TEmplate!$M$54:$O$65,2,0)</f>
        <v>Footscray Blue</v>
      </c>
      <c r="J610" s="4">
        <f>VLOOKUP(B610,[1]TEmplate!$AC$38:$AE$57,3,0)</f>
        <v>46260</v>
      </c>
    </row>
    <row r="611" spans="1:10" x14ac:dyDescent="0.3">
      <c r="A611" s="7" t="s">
        <v>17</v>
      </c>
      <c r="B611">
        <v>18</v>
      </c>
      <c r="C611">
        <v>4</v>
      </c>
      <c r="D611">
        <v>1</v>
      </c>
      <c r="E611" t="str">
        <f>VLOOKUP(D611,[1]TEmplate!$M$54:$O$65,2,0)</f>
        <v>Hawthorn Hockey Club</v>
      </c>
      <c r="F611" t="s">
        <v>5</v>
      </c>
      <c r="G611">
        <v>8</v>
      </c>
      <c r="H611" t="str">
        <f>VLOOKUP(G611,[1]TEmplate!$M$54:$O$65,2,0)</f>
        <v>MHSOB</v>
      </c>
      <c r="I611" t="str">
        <f>VLOOKUP(D611,[1]TEmplate!$M$54:$O$65,3,0)</f>
        <v>HAW</v>
      </c>
      <c r="J611" s="4">
        <f>VLOOKUP(B611,[1]TEmplate!$AC$38:$AE$57,3,0)</f>
        <v>46260</v>
      </c>
    </row>
    <row r="612" spans="1:10" x14ac:dyDescent="0.3">
      <c r="A612" s="7" t="s">
        <v>17</v>
      </c>
      <c r="B612">
        <v>18</v>
      </c>
      <c r="C612">
        <v>5</v>
      </c>
      <c r="D612">
        <v>11</v>
      </c>
      <c r="E612" t="str">
        <f>VLOOKUP(D612,[1]TEmplate!$M$54:$O$65,2,0)</f>
        <v>Doncaster Hockey Club</v>
      </c>
      <c r="F612" t="s">
        <v>5</v>
      </c>
      <c r="G612">
        <v>9</v>
      </c>
      <c r="H612" t="str">
        <f>VLOOKUP(G612,[1]TEmplate!$M$54:$O$65,2,0)</f>
        <v>Southern C</v>
      </c>
      <c r="I612" t="str">
        <f>VLOOKUP(D612,[1]TEmplate!$M$54:$O$65,3,0)</f>
        <v>DON</v>
      </c>
      <c r="J612" s="4">
        <f>VLOOKUP(B612,[1]TEmplate!$AC$38:$AE$57,3,0)</f>
        <v>46260</v>
      </c>
    </row>
    <row r="613" spans="1:10" x14ac:dyDescent="0.3">
      <c r="A613" s="7" t="s">
        <v>17</v>
      </c>
      <c r="B613">
        <v>18</v>
      </c>
      <c r="C613">
        <v>6</v>
      </c>
      <c r="D613">
        <v>12</v>
      </c>
      <c r="E613" t="str">
        <f>VLOOKUP(D613,[1]TEmplate!$M$54:$O$65,2,0)</f>
        <v>KBH Brumbies Hockey Club</v>
      </c>
      <c r="F613" t="s">
        <v>5</v>
      </c>
      <c r="G613">
        <v>10</v>
      </c>
      <c r="H613" t="str">
        <f>VLOOKUP(G613,[1]TEmplate!$M$54:$O$65,2,0)</f>
        <v>MCC Hockey Section</v>
      </c>
      <c r="I613" t="str">
        <f>VLOOKUP(D613,[1]TEmplate!$M$54:$O$65,3,0)</f>
        <v>ELG</v>
      </c>
      <c r="J613" s="4">
        <f>VLOOKUP(B613,[1]TEmplate!$AC$38:$AE$57,3,0)</f>
        <v>46260</v>
      </c>
    </row>
  </sheetData>
  <conditionalFormatting sqref="I1:I55">
    <cfRule type="cellIs" dxfId="0" priority="1" operator="between">
      <formula>9</formula>
      <formula>20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fooz bear</dc:creator>
  <cp:lastModifiedBy>fooz bear</cp:lastModifiedBy>
  <dcterms:created xsi:type="dcterms:W3CDTF">2026-06-18T17:59:43Z</dcterms:created>
  <dcterms:modified xsi:type="dcterms:W3CDTF">2026-06-18T18:00:21Z</dcterms:modified>
</cp:coreProperties>
</file>